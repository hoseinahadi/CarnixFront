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900e83047f46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خلاصه" sheetId="1" r:id="R721e4298fc9045c1"/>
    <x:sheet xmlns:r="http://schemas.openxmlformats.org/officeDocument/2006/relationships" name="ایرادات فنی و ظاهری" sheetId="2" r:id="Rbec4330262ee4c9d"/>
    <x:sheet xmlns:r="http://schemas.openxmlformats.org/officeDocument/2006/relationships" name="کنترل‌های تاییدشده" sheetId="3" r:id="R400854fe04fc48f8"/>
    <x:sheet xmlns:r="http://schemas.openxmlformats.org/officeDocument/2006/relationships" name="پوشش مسیرها" sheetId="4" r:id="Rac806d5c35894b47"/>
    <x:sheet xmlns:r="http://schemas.openxmlformats.org/officeDocument/2006/relationships" name="شواهد بررسی" sheetId="5" r:id="Rebb3973d5e0548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8">
    <x:font>
      <x:sz val="11"/>
      <x:name val="Carlito"/>
    </x:font>
    <x:font>
      <x:b/>
      <x:sz val="16"/>
      <x:color rgb="FF173F78"/>
      <x:name val="Arial"/>
    </x:font>
    <x:font>
      <x:sz val="10"/>
      <x:color rgb="FF475569"/>
      <x:name val="Arial"/>
    </x:font>
    <x:font>
      <x:b/>
      <x:sz val="10"/>
      <x:color rgb="FF173F78"/>
      <x:name val="Arial"/>
    </x:font>
    <x:font>
      <x:sz val="10"/>
      <x:color rgb="FF172033"/>
      <x:name val="Arial"/>
    </x:font>
    <x:font>
      <x:b/>
      <x:sz val="10"/>
      <x:color rgb="FFFFFFFF"/>
      <x:name val="Arial"/>
    </x:font>
    <x:font>
      <x:sz val="10"/>
      <x:color rgb="FF92400E"/>
      <x:name val="Arial"/>
    </x:font>
    <x:font>
      <x:b/>
      <x:sz val="10"/>
      <x:color rgb="FF166534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EAF2FF"/>
      </x:patternFill>
    </x:fill>
    <x:fill>
      <x:patternFill patternType="solid">
        <x:fgColor rgb="FFFFFFFF"/>
      </x:patternFill>
    </x:fill>
    <x:fill>
      <x:patternFill patternType="solid">
        <x:fgColor rgb="FF173F78"/>
      </x:patternFill>
    </x:fill>
    <x:fill>
      <x:patternFill patternType="solid">
        <x:fgColor rgb="FFFEF3C7"/>
      </x:patternFill>
    </x:fill>
    <x:fill>
      <x:patternFill patternType="solid">
        <x:fgColor rgb="FFDCFCE7"/>
      </x:patternFill>
    </x:fill>
  </x:fills>
  <x:borders count="1">
    <x:border/>
  </x:borders>
  <x:cellStyleXfs count="1">
    <x:xf numFmtId="0" fontId="0" fillId="0" borderId="0"/>
  </x:cellStyleXfs>
  <x:cellXfs count="3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horizontal="center" wrapText="1"/>
    </x:xf>
    <x:xf numFmtId="0" fontId="5" fillId="4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 wrapText="1"/>
    </x:xf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vertical="center" wrapText="1"/>
    </x:xf>
    <x:xf numFmtId="0" fontId="6" fillId="5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 applyAlignment="1">
      <x:alignment vertical="center" wrapText="1"/>
    </x:xf>
    <x:xf numFmtId="200" fontId="4" fillId="0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vertical="center" wrapText="1"/>
    </x:xf>
    <x:xf numFmtId="0" fontId="7" fillId="6" borderId="0" xfId="0" applyNumberFormat="1" applyFont="1" applyFill="1" applyBorder="1" applyAlignment="1">
      <x:alignment vertical="center" wrapText="1"/>
    </x:xf>
    <x:xf numFmtId="0" fontId="7" fillId="6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4"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color rgb="FF991B1B"/>
      </x:font>
      <x:fill>
        <x:patternFill>
          <x:bgColor rgb="FFFEE2E2"/>
        </x:patternFill>
      </x:fill>
    </x:dxf>
    <x:dxf>
      <x:font>
        <x:color rgb="FF92400E"/>
      </x:font>
      <x:fill>
        <x:patternFill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810e956f1a430e" /><Relationship Type="http://schemas.openxmlformats.org/officeDocument/2006/relationships/theme" Target="/xl/theme/theme1.xml" Id="R93ecb9ec4c9e42cc" /><Relationship Type="http://schemas.openxmlformats.org/officeDocument/2006/relationships/sharedStrings" Target="/xl/sharedStrings.xml" Id="R33ca66aba0a041c0" /><Relationship Type="http://schemas.openxmlformats.org/officeDocument/2006/relationships/worksheet" Target="/xl/worksheets/sheet1.xml" Id="R721e4298fc9045c1" /><Relationship Type="http://schemas.openxmlformats.org/officeDocument/2006/relationships/worksheet" Target="/xl/worksheets/sheet2.xml" Id="Rbec4330262ee4c9d" /><Relationship Type="http://schemas.openxmlformats.org/officeDocument/2006/relationships/worksheet" Target="/xl/worksheets/sheet3.xml" Id="R400854fe04fc48f8" /><Relationship Type="http://schemas.openxmlformats.org/officeDocument/2006/relationships/worksheet" Target="/xl/worksheets/sheet4.xml" Id="Rac806d5c35894b47" /><Relationship Type="http://schemas.openxmlformats.org/officeDocument/2006/relationships/worksheet" Target="/xl/worksheets/sheet5.xml" Id="Rebb3973d5e05486b" /></Relationships>
</file>

<file path=xl/tables/table1.xml><?xml version="1.0" encoding="utf-8"?>
<x:table xmlns:x="http://schemas.openxmlformats.org/spreadsheetml/2006/main" id="1" name="FullAuditIssues" displayName="FullAuditIssues" ref="A1:M49" headerRowCount="1" totalsRowCount="0" totalsRowShown="0">
  <x:tableColumns count="13">
    <x:tableColumn id="1" name="شناسه"/>
    <x:tableColumn id="2" name="حوزه"/>
    <x:tableColumn id="3" name="لایه"/>
    <x:tableColumn id="4" name="نوع"/>
    <x:tableColumn id="5" name="شدت"/>
    <x:tableColumn id="6" name="اطمینان"/>
    <x:tableColumn id="7" name="شرح ایراد"/>
    <x:tableColumn id="8" name="اثر/ریسک"/>
    <x:tableColumn id="9" name="شاهد و مسیر"/>
    <x:tableColumn id="10" name="اقدام پیشنهادی"/>
    <x:tableColumn id="11" name="وضعیت"/>
    <x:tableColumn id="12" name="پیشرفت"/>
    <x:tableColumn id="13" name="یادداشت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VerifiedControls" displayName="VerifiedControls" ref="A1:G11" headerRowCount="1" totalsRowCount="0" totalsRowShown="0">
  <x:tableColumns count="7">
    <x:tableColumn id="1" name="شناسه"/>
    <x:tableColumn id="2" name="کنترل"/>
    <x:tableColumn id="3" name="لایه"/>
    <x:tableColumn id="4" name="دستور/روش"/>
    <x:tableColumn id="5" name="وضعیت"/>
    <x:tableColumn id="6" name="نتیجه"/>
    <x:tableColumn id="7" name="تاریخ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outeCoverage" displayName="RouteCoverage" ref="A1:D11" headerRowCount="1" totalsRowCount="0" totalsRowShown="0">
  <x:tableColumns count="4">
    <x:tableColumn id="1" name="مسیر"/>
    <x:tableColumn id="2" name="صفحه"/>
    <x:tableColumn id="3" name="وضعیت مشاهده"/>
    <x:tableColumn id="4" name="یادداشت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uditEvidence" displayName="AuditEvidence" ref="A1:F9" headerRowCount="1" totalsRowCount="0" totalsRowShown="0">
  <x:tableColumns count="6">
    <x:tableColumn id="1" name="شناسه"/>
    <x:tableColumn id="2" name="دامنه"/>
    <x:tableColumn id="3" name="هدف"/>
    <x:tableColumn id="4" name="دستور/منبع"/>
    <x:tableColumn id="5" name="نتیجه"/>
    <x:tableColumn id="6" name="تاریخ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8c93f31eb4d439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b7f4939e5d840c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3f3d3a1f1c44b9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49714130fe5492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8" hidden="0" customWidth="1"/>
    <x:col min="2" max="2" width="16" hidden="0" customWidth="1"/>
    <x:col min="3" max="3" width="4" hidden="0" customWidth="1"/>
    <x:col min="4" max="4" width="20" hidden="0" customWidth="1"/>
    <x:col min="5" max="5" width="12" hidden="0" customWidth="1"/>
    <x:col min="6" max="6" width="22" hidden="0" customWidth="1"/>
    <x:col min="7" max="7" width="24" hidden="0" customWidth="1"/>
    <x:col min="8" max="8" width="28" hidden="0" customWidth="1"/>
  </x:cols>
  <x:sheetData>
    <x:row r="1" ht="30" customHeight="1">
      <x:c r="A1" s="2" t="str">
        <x:v>ممیزی کامل پروژه کارنیکس</x:v>
      </x:c>
      <x:c r="B1" s="2"/>
      <x:c r="C1" s="2"/>
      <x:c r="D1" s="2"/>
      <x:c r="E1" s="2"/>
      <x:c r="F1" s="2"/>
      <x:c r="G1" s="2"/>
      <x:c r="H1" s="2"/>
    </x:row>
    <x:row r="2" ht="24" customHeight="1">
      <x:c r="A2" s="23" t="str">
        <x:v>دامنه: فرانت Next.js، بک‌اند ASP.NET Core، runtime مرورگر و بررسی ظاهری responsive</x:v>
      </x:c>
      <x:c r="B2" s="23"/>
      <x:c r="C2" s="23"/>
      <x:c r="D2" s="23"/>
      <x:c r="E2" s="23"/>
      <x:c r="F2" s="23"/>
      <x:c r="G2" s="23"/>
      <x:c r="H2" s="23"/>
    </x:row>
    <x:row r="3" ht="24" customHeight="1">
      <x:c r="A3" s="24"/>
      <x:c r="B3" s="24"/>
      <x:c r="C3" s="24"/>
      <x:c r="D3" s="24"/>
      <x:c r="E3" s="24"/>
      <x:c r="F3" s="24"/>
      <x:c r="G3" s="24"/>
      <x:c r="H3" s="24"/>
    </x:row>
    <x:row r="4" ht="24" customHeight="1">
      <x:c r="A4" s="25" t="str">
        <x:v>تاریخ ممیزی</x:v>
      </x:c>
      <x:c r="B4" s="26" t="str">
        <x:v>2026-09-13</x:v>
      </x:c>
      <x:c r="C4" s="24"/>
      <x:c r="D4" s="14" t="str">
        <x:v>تفکیک یافته‌ها</x:v>
      </x:c>
      <x:c r="E4" s="14" t="str">
        <x:v>تعداد</x:v>
      </x:c>
      <x:c r="F4" s="14" t="str">
        <x:v>فرانت</x:v>
      </x:c>
      <x:c r="G4" s="14" t="str">
        <x:v>بک‌اند</x:v>
      </x:c>
      <x:c r="H4" s="14" t="str">
        <x:v>مشترک</x:v>
      </x:c>
    </x:row>
    <x:row r="5" ht="24" customHeight="1">
      <x:c r="A5" s="25" t="str">
        <x:v>تعداد کل یافته‌ها</x:v>
      </x:c>
      <x:c r="B5" s="26" t="n">
        <x:f>COUNTA('ایرادات فنی و ظاهری'!A2:A200)</x:f>
        <x:v>48</x:v>
      </x:c>
      <x:c r="C5" s="24"/>
      <x:c r="D5" s="24" t="str">
        <x:v>باز</x:v>
      </x:c>
      <x:c r="E5" s="24" t="n">
        <x:f>COUNTIF('ایرادات فنی و ظاهری'!K2:K200,D5)</x:f>
        <x:v>33</x:v>
      </x:c>
      <x:c r="F5" s="24"/>
      <x:c r="G5" s="24"/>
      <x:c r="H5" s="24"/>
    </x:row>
    <x:row r="6" ht="24" customHeight="1">
      <x:c r="A6" s="25" t="str">
        <x:v>یافته‌های باز</x:v>
      </x:c>
      <x:c r="B6" s="26" t="n">
        <x:f>COUNTIF('ایرادات فنی و ظاهری'!K2:K200,"باز")</x:f>
        <x:v>33</x:v>
      </x:c>
      <x:c r="C6" s="24"/>
      <x:c r="D6" s="24" t="str">
        <x:v>نیازمند تست</x:v>
      </x:c>
      <x:c r="E6" s="24" t="n">
        <x:f>COUNTIF('ایرادات فنی و ظاهری'!K2:K200,D6)</x:f>
        <x:v>13</x:v>
      </x:c>
      <x:c r="F6" s="24"/>
      <x:c r="G6" s="24"/>
      <x:c r="H6" s="24"/>
    </x:row>
    <x:row r="7" ht="24" customHeight="1">
      <x:c r="A7" s="25" t="str">
        <x:v>بحرانی</x:v>
      </x:c>
      <x:c r="B7" s="26" t="n">
        <x:f>COUNTIF('ایرادات فنی و ظاهری'!E2:E200,"بحرانی")</x:f>
        <x:v>3</x:v>
      </x:c>
      <x:c r="C7" s="24"/>
      <x:c r="D7" s="24" t="str">
        <x:v>نیازمند بررسی</x:v>
      </x:c>
      <x:c r="E7" s="24" t="n">
        <x:f>COUNTIF('ایرادات فنی و ظاهری'!K2:K200,D7)</x:f>
        <x:v>2</x:v>
      </x:c>
      <x:c r="F7" s="24"/>
      <x:c r="G7" s="24"/>
      <x:c r="H7" s="24"/>
    </x:row>
    <x:row r="8" ht="24" customHeight="1">
      <x:c r="A8" s="25" t="str">
        <x:v>بالا</x:v>
      </x:c>
      <x:c r="B8" s="26" t="n">
        <x:f>COUNTIF('ایرادات فنی و ظاهری'!E2:E200,"بالا")</x:f>
        <x:v>24</x:v>
      </x:c>
      <x:c r="C8" s="24"/>
      <x:c r="D8" s="24" t="str">
        <x:v>مشاهده زنده / گزارش</x:v>
      </x:c>
      <x:c r="E8" s="24" t="n">
        <x:f>COUNTIF('ایرادات فنی و ظاهری'!F2:F200,"مشاهده زنده")</x:f>
        <x:v>3</x:v>
      </x:c>
      <x:c r="F8" s="24"/>
      <x:c r="G8" s="24"/>
      <x:c r="H8" s="24"/>
    </x:row>
    <x:row r="9" ht="24" customHeight="1">
      <x:c r="A9" s="25" t="str">
        <x:v>متوسط و کم</x:v>
      </x:c>
      <x:c r="B9" s="26" t="n">
        <x:f>COUNTIF('ایرادات فنی و ظاهری'!E2:E200,"متوسط")+COUNTIF('ایرادات فنی و ظاهری'!E2:E200,"کم")</x:f>
        <x:v>21</x:v>
      </x:c>
      <x:c r="C9" s="24"/>
      <x:c r="D9" s="24"/>
      <x:c r="E9" s="24"/>
      <x:c r="F9" s="24"/>
      <x:c r="G9" s="24"/>
      <x:c r="H9" s="24"/>
    </x:row>
    <x:row r="10" ht="24" customHeight="1">
      <x:c r="A10" s="25" t="str">
        <x:v>نیازمند تست/بررسی</x:v>
      </x:c>
      <x:c r="B10" s="26" t="n">
        <x:f>COUNTIF('ایرادات فنی و ظاهری'!K2:K200,"نیازمند تست")+COUNTIF('ایرادات فنی و ظاهری'!K2:K200,"نیازمند بررسی")</x:f>
        <x:v>15</x:v>
      </x:c>
      <x:c r="C10" s="24"/>
      <x:c r="D10" s="24"/>
      <x:c r="E10" s="24"/>
      <x:c r="F10" s="24"/>
      <x:c r="G10" s="24"/>
      <x:c r="H10" s="24"/>
    </x:row>
    <x:row r="11" ht="24" customHeight="1">
      <x:c r="A11" s="24"/>
      <x:c r="B11" s="24"/>
      <x:c r="C11" s="24"/>
      <x:c r="D11" s="14" t="str">
        <x:v>نتیجه تست</x:v>
      </x:c>
      <x:c r="E11" s="14" t="str">
        <x:v>وضعیت</x:v>
      </x:c>
      <x:c r="F11" s="14" t="str">
        <x:v>شاهد</x:v>
      </x:c>
      <x:c r="G11" s="14" t="str">
        <x:v>محدودیت</x:v>
      </x:c>
      <x:c r="H11" s="14" t="str">
        <x:v>اقدام بعدی</x:v>
      </x:c>
    </x:row>
    <x:row r="12" ht="24" customHeight="1">
      <x:c r="A12" s="24"/>
      <x:c r="B12" s="24"/>
      <x:c r="C12" s="24"/>
      <x:c r="D12" s="17" t="str">
        <x:v>TypeScript</x:v>
      </x:c>
      <x:c r="E12" s="17" t="str">
        <x:v>PASS</x:v>
      </x:c>
      <x:c r="F12" s="17" t="str">
        <x:v>npx tsc --noEmit</x:v>
      </x:c>
      <x:c r="G12" s="17" t="str">
        <x:v>رفتار runtime را پوشش نمی‌دهد</x:v>
      </x:c>
      <x:c r="H12" s="17" t="str">
        <x:v>تست integration</x:v>
      </x:c>
    </x:row>
    <x:row r="13" ht="24" customHeight="1">
      <x:c r="A13" s="21" t="str">
        <x:v>روش: یافته‌های قطعی از scan/build/runtime جدا از موارد نیازمند تست ثبت شده‌اند. درصد ساختگی برای موارد تست‌نشده اعمال نشده است.</x:v>
      </x:c>
      <x:c r="B13" s="21"/>
      <x:c r="C13" s="21"/>
      <x:c r="D13" s="21" t="str">
        <x:v>Lint</x:v>
      </x:c>
      <x:c r="E13" s="21" t="str">
        <x:v>WARN</x:v>
      </x:c>
      <x:c r="F13" s="21" t="str">
        <x:v>۰ error / ۱۳۷ warning</x:v>
      </x:c>
      <x:c r="G13" s="21" t="str">
        <x:v>warningها باز هستند</x:v>
      </x:c>
      <x:c r="H13" s="21" t="str">
        <x:v>رفع warningها</x:v>
      </x:c>
    </x:row>
    <x:row r="14" ht="24" customHeight="1">
      <x:c r="A14" s="24"/>
      <x:c r="B14" s="24"/>
      <x:c r="C14" s="24"/>
      <x:c r="D14" s="17" t="str">
        <x:v>P0 تا P4</x:v>
      </x:c>
      <x:c r="E14" s="17" t="str">
        <x:v>PASS</x:v>
      </x:c>
      <x:c r="F14" s="17" t="str">
        <x:v>تمام verify scriptها</x:v>
      </x:c>
      <x:c r="G14" s="17" t="str">
        <x:v>static است</x:v>
      </x:c>
      <x:c r="H14" s="17" t="str">
        <x:v>تست browser/e2e</x:v>
      </x:c>
    </x:row>
    <x:row r="15" ht="24" customHeight="1">
      <x:c r="A15" s="24"/>
      <x:c r="B15" s="24"/>
      <x:c r="C15" s="24"/>
      <x:c r="D15" s="17" t="str">
        <x:v>Backend build</x:v>
      </x:c>
      <x:c r="E15" s="17" t="str">
        <x:v>FAIL</x:v>
      </x:c>
      <x:c r="F15" s="17" t="str">
        <x:v>Carnix.exe lock + warnings</x:v>
      </x:c>
      <x:c r="G15" s="17" t="str">
        <x:v>lock محیط جاری</x:v>
      </x:c>
      <x:c r="H15" s="17" t="str">
        <x:v>build clean/CI</x:v>
      </x:c>
    </x:row>
    <x:row r="16" ht="24" customHeight="1">
      <x:c r="A16" s="24"/>
      <x:c r="B16" s="24"/>
      <x:c r="C16" s="24"/>
      <x:c r="D16" s="17" t="str">
        <x:v>Runtime</x:v>
      </x:c>
      <x:c r="E16" s="17" t="str">
        <x:v>WARN</x:v>
      </x:c>
      <x:c r="F16" s="17" t="str">
        <x:v>cart hydration mismatch</x:v>
      </x:c>
      <x:c r="G16" s="17" t="str">
        <x:v>session/data واقعی محدود</x:v>
      </x:c>
      <x:c r="H16" s="17" t="str">
        <x:v>رفع mismatch و smoke test</x:v>
      </x:c>
    </x:row>
  </x:sheetData>
  <x:mergeCells>
    <x:mergeCell ref="A1:H1"/>
    <x:mergeCell ref="A2:H2"/>
    <x:mergeCell ref="A13:H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18" hidden="0" customWidth="1"/>
    <x:col min="3" max="3" width="14" hidden="0" customWidth="1"/>
    <x:col min="4" max="4" width="16" hidden="0" customWidth="1"/>
    <x:col min="5" max="5" width="12" hidden="0" customWidth="1"/>
    <x:col min="6" max="6" width="12" hidden="0" customWidth="1"/>
    <x:col min="7" max="7" width="42" hidden="0" customWidth="1"/>
    <x:col min="8" max="8" width="40" hidden="0" customWidth="1"/>
    <x:col min="9" max="9" width="42" hidden="0" customWidth="1"/>
    <x:col min="10" max="10" width="42" hidden="0" customWidth="1"/>
    <x:col min="11" max="11" width="16" hidden="0" customWidth="1"/>
    <x:col min="12" max="12" width="12" hidden="0" customWidth="1"/>
    <x:col min="13" max="13" width="28" hidden="0" customWidth="1"/>
  </x:cols>
  <x:sheetData>
    <x:row r="1" ht="42" customHeight="1">
      <x:c r="A1" s="14" t="str">
        <x:v>شناسه</x:v>
      </x:c>
      <x:c r="B1" s="14" t="str">
        <x:v>حوزه</x:v>
      </x:c>
      <x:c r="C1" s="14" t="str">
        <x:v>لایه</x:v>
      </x:c>
      <x:c r="D1" s="14" t="str">
        <x:v>نوع</x:v>
      </x:c>
      <x:c r="E1" s="14" t="str">
        <x:v>شدت</x:v>
      </x:c>
      <x:c r="F1" s="14" t="str">
        <x:v>اطمینان</x:v>
      </x:c>
      <x:c r="G1" s="14" t="str">
        <x:v>شرح ایراد</x:v>
      </x:c>
      <x:c r="H1" s="14" t="str">
        <x:v>اثر/ریسک</x:v>
      </x:c>
      <x:c r="I1" s="14" t="str">
        <x:v>شاهد و مسیر</x:v>
      </x:c>
      <x:c r="J1" s="14" t="str">
        <x:v>اقدام پیشنهادی</x:v>
      </x:c>
      <x:c r="K1" s="14" t="str">
        <x:v>وضعیت</x:v>
      </x:c>
      <x:c r="L1" s="14" t="str">
        <x:v>پیشرفت</x:v>
      </x:c>
      <x:c r="M1" s="14" t="str">
        <x:v>یادداشت</x:v>
      </x:c>
    </x:row>
    <x:row r="2" ht="42" customHeight="1">
      <x:c r="A2" s="29" t="str">
        <x:v>T-001</x:v>
      </x:c>
      <x:c r="B2" s="17" t="str">
        <x:v>کیفیت کد</x:v>
      </x:c>
      <x:c r="C2" s="17" t="str">
        <x:v>فرانت</x:v>
      </x:c>
      <x:c r="D2" s="17" t="str">
        <x:v>Lint</x:v>
      </x:c>
      <x:c r="E2" s="17" t="str">
        <x:v>بالا</x:v>
      </x:c>
      <x:c r="F2" s="17" t="str">
        <x:v>قطعی</x:v>
      </x:c>
      <x:c r="G2" s="17" t="str">
        <x:v>eslint با ۰ error و ۱۳۷ warning تمام می‌شود.</x:v>
      </x:c>
      <x:c r="H2" s="17" t="str">
        <x:v>هشدارهای باقی‌مانده خطای رفتاری یا نگهداری را پنهان می‌کنند.</x:v>
      </x:c>
      <x:c r="I2" s="17" t="str">
        <x:v>ui/lint-audit.json؛ npm run lint (2026-09-13)</x:v>
      </x:c>
      <x:c r="J2" s="17" t="str">
        <x:v>هشدارها را بر اساس گروه رفع کنید و lint را در CI به معیار اجباری تبدیل کنید.</x:v>
      </x:c>
      <x:c r="K2" s="17" t="str">
        <x:v>باز</x:v>
      </x:c>
      <x:c r="L2" s="28" t="n">
        <x:v>0</x:v>
      </x:c>
      <x:c r="M2" s="17" t="str">
        <x:v>اندازه‌گیری مستقیم از اجرای lint</x:v>
      </x:c>
    </x:row>
    <x:row r="3" ht="42" customHeight="1">
      <x:c r="A3" s="29" t="str">
        <x:v>T-002</x:v>
      </x:c>
      <x:c r="B3" s="17" t="str">
        <x:v>Type safety</x:v>
      </x:c>
      <x:c r="C3" s="17" t="str">
        <x:v>فرانت</x:v>
      </x:c>
      <x:c r="D3" s="17" t="str">
        <x:v>Lint</x:v>
      </x:c>
      <x:c r="E3" s="17" t="str">
        <x:v>بالا</x:v>
      </x:c>
      <x:c r="F3" s="17" t="str">
        <x:v>قطعی</x:v>
      </x:c>
      <x:c r="G3" s="17" t="str">
        <x:v>۸۳ مورد no-explicit-any در UI گزارش شده است.</x:v>
      </x:c>
      <x:c r="H3" s="17" t="str">
        <x:v>قرارداد API و state در زمان کامپایل کنترل نمی‌شود.</x:v>
      </x:c>
      <x:c r="I3" s="17" t="str">
        <x:v>ui/lint-audit.json؛ rule @typescript-eslint/no-explicit-any</x:v>
      </x:c>
      <x:c r="J3" s="17" t="str">
        <x:v>مدل‌های پاسخ و خطا را typed کنید و any را به unknown یا DTO تبدیل کنید.</x:v>
      </x:c>
      <x:c r="K3" s="17" t="str">
        <x:v>باز</x:v>
      </x:c>
      <x:c r="L3" s="28" t="n">
        <x:v>0</x:v>
      </x:c>
      <x:c r="M3" s="17" t="str">
        <x:v>ابتدا مرزهای API و checkout را اولویت دهید.</x:v>
      </x:c>
    </x:row>
    <x:row r="4" ht="42" customHeight="1">
      <x:c r="A4" s="29" t="str">
        <x:v>T-003</x:v>
      </x:c>
      <x:c r="B4" s="17" t="str">
        <x:v>کیفیت کد</x:v>
      </x:c>
      <x:c r="C4" s="17" t="str">
        <x:v>فرانت</x:v>
      </x:c>
      <x:c r="D4" s="17" t="str">
        <x:v>Lint</x:v>
      </x:c>
      <x:c r="E4" s="17" t="str">
        <x:v>متوسط</x:v>
      </x:c>
      <x:c r="F4" s="17" t="str">
        <x:v>قطعی</x:v>
      </x:c>
      <x:c r="G4" s="17" t="str">
        <x:v>۲۱ مورد متغیر بلااستفاده گزارش شده است.</x:v>
      </x:c>
      <x:c r="H4" s="17" t="str">
        <x:v>کد مرده و مسیرهای مبهم احتمال خطای تغییرات بعدی را بالا می‌برد.</x:v>
      </x:c>
      <x:c r="I4" s="17" t="str">
        <x:v>ui/lint-audit.json؛ rule @typescript-eslint/no-unused-vars</x:v>
      </x:c>
      <x:c r="J4" s="17" t="str">
        <x:v>متغیرها و importهای بلااستفاده را حذف یا منطق ناقص را تکمیل کنید.</x:v>
      </x:c>
      <x:c r="K4" s="17" t="str">
        <x:v>باز</x:v>
      </x:c>
      <x:c r="L4" s="28" t="n">
        <x:v>0</x:v>
      </x:c>
      <x:c r="M4" s="17" t="str">
        <x:v>قابل رفع با lint autofix محدود و review دستی</x:v>
      </x:c>
    </x:row>
    <x:row r="5" ht="42" customHeight="1">
      <x:c r="A5" s="29" t="str">
        <x:v>T-004</x:v>
      </x:c>
      <x:c r="B5" s="17" t="str">
        <x:v>کارایی React</x:v>
      </x:c>
      <x:c r="C5" s="17" t="str">
        <x:v>فرانت</x:v>
      </x:c>
      <x:c r="D5" s="17" t="str">
        <x:v>React Hooks</x:v>
      </x:c>
      <x:c r="E5" s="17" t="str">
        <x:v>بالا</x:v>
      </x:c>
      <x:c r="F5" s="17" t="str">
        <x:v>قطعی</x:v>
      </x:c>
      <x:c r="G5" s="17" t="str">
        <x:v>۱۵ مورد set-state-in-effect گزارش شده است.</x:v>
      </x:c>
      <x:c r="H5" s="17" t="str">
        <x:v>رندرهای زنجیره‌ای و flicker در جست‌وجو، فیلتر، پروفایل و lazy mount محتمل است.</x:v>
      </x:c>
      <x:c r="I5" s="17" t="str">
        <x:v>ui/lint-audit.json؛ rule react-hooks/set-state-in-effect</x:v>
      </x:c>
      <x:c r="J5" s="17" t="str">
        <x:v>مقدار مشتق‌شده را در render/useMemo بسازید و effect را فقط برای side effect نگه دارید.</x:v>
      </x:c>
      <x:c r="K5" s="17" t="str">
        <x:v>باز</x:v>
      </x:c>
      <x:c r="L5" s="28" t="n">
        <x:v>0</x:v>
      </x:c>
      <x:c r="M5" s="17" t="str">
        <x:v>نمونه‌ها در search، vehicles، profile و ProductDetail دیده شد.</x:v>
      </x:c>
    </x:row>
    <x:row r="6" ht="42" customHeight="1">
      <x:c r="A6" s="29" t="str">
        <x:v>T-005</x:v>
      </x:c>
      <x:c r="B6" s="17" t="str">
        <x:v>پایداری React</x:v>
      </x:c>
      <x:c r="C6" s="17" t="str">
        <x:v>فرانت</x:v>
      </x:c>
      <x:c r="D6" s="17" t="str">
        <x:v>React Hooks</x:v>
      </x:c>
      <x:c r="E6" s="17" t="str">
        <x:v>بالا</x:v>
      </x:c>
      <x:c r="F6" s="17" t="str">
        <x:v>قطعی</x:v>
      </x:c>
      <x:c r="G6" s="17" t="str">
        <x:v>۷ مورد exhaustive-deps گزارش شده است.</x:v>
      </x:c>
      <x:c r="H6" s="17" t="str">
        <x:v>effect ممکن است با state قدیمی اجرا شود یا dependency لازم را از دست بدهد.</x:v>
      </x:c>
      <x:c r="I6" s="17" t="str">
        <x:v>ui/lint-audit.json؛ rule react-hooks/exhaustive-deps</x:v>
      </x:c>
      <x:c r="J6" s="17" t="str">
        <x:v>dependencyها را اصلاح و effectهای چندمسئولیتی را تفکیک کنید.</x:v>
      </x:c>
      <x:c r="K6" s="17" t="str">
        <x:v>باز</x:v>
      </x:c>
      <x:c r="L6" s="28" t="n">
        <x:v>0</x:v>
      </x:c>
      <x:c r="M6" s="17" t="str"/>
    </x:row>
    <x:row r="7" ht="42" customHeight="1">
      <x:c r="A7" s="29" t="str">
        <x:v>T-006</x:v>
      </x:c>
      <x:c r="B7" s="17" t="str">
        <x:v>پایداری React</x:v>
      </x:c>
      <x:c r="C7" s="17" t="str">
        <x:v>فرانت</x:v>
      </x:c>
      <x:c r="D7" s="17" t="str">
        <x:v>React Hooks</x:v>
      </x:c>
      <x:c r="E7" s="17" t="str">
        <x:v>متوسط</x:v>
      </x:c>
      <x:c r="F7" s="17" t="str">
        <x:v>قطعی</x:v>
      </x:c>
      <x:c r="G7" s="17" t="str">
        <x:v>۴ مورد دسترسی ناامن به ref گزارش شده است.</x:v>
      </x:c>
      <x:c r="H7" s="17" t="str">
        <x:v>خواندن ref در render می‌تواند با React Compiler یا concurrent rendering ناسازگار شود.</x:v>
      </x:c>
      <x:c r="I7" s="17" t="str">
        <x:v>ui/lint-audit.json؛ rule react-hooks/refs</x:v>
      </x:c>
      <x:c r="J7" s="17" t="str">
        <x:v>ref را فقط داخل event/effect بخوانید و Provider را با الگوی پایدار بسازید.</x:v>
      </x:c>
      <x:c r="K7" s="17" t="str">
        <x:v>باز</x:v>
      </x:c>
      <x:c r="L7" s="28" t="n">
        <x:v>0</x:v>
      </x:c>
      <x:c r="M7" s="17" t="str"/>
    </x:row>
    <x:row r="8" ht="42" customHeight="1">
      <x:c r="A8" s="29" t="str">
        <x:v>T-007</x:v>
      </x:c>
      <x:c r="B8" s="17" t="str">
        <x:v>تست</x:v>
      </x:c>
      <x:c r="C8" s="17" t="str">
        <x:v>فرانت و بک</x:v>
      </x:c>
      <x:c r="D8" s="17" t="str">
        <x:v>Test coverage</x:v>
      </x:c>
      <x:c r="E8" s="17" t="str">
        <x:v>بالا</x:v>
      </x:c>
      <x:c r="F8" s="17" t="str">
        <x:v>قطعی</x:v>
      </x:c>
      <x:c r="G8" s="17" t="str">
        <x:v>پروژه تست unit/integration/e2e شناخته‌شده یا script تست ندارد؛ فقط verify scriptهای static وجود دارد.</x:v>
      </x:c>
      <x:c r="H8" s="17" t="str">
        <x:v>رفتار واقعی checkout، auth، سبد و responsive در برابر regression پوشش ندارد.</x:v>
      </x:c>
      <x:c r="I8" s="17" t="str">
        <x:v>ui/package.json؛ ui/scripts/verify-*.mjs؛ نبود فایل test/spec</x:v>
      </x:c>
      <x:c r="J8" s="17" t="str">
        <x:v>Playwright یا Cypress برای مسیرهای بحرانی و تست API اضافه کنید.</x:v>
      </x:c>
      <x:c r="K8" s="17" t="str">
        <x:v>باز</x:v>
      </x:c>
      <x:c r="L8" s="28" t="n">
        <x:v>0</x:v>
      </x:c>
      <x:c r="M8" s="17" t="str">
        <x:v>این ممیزی جای تست پذیرش محصول را نمی‌گیرد.</x:v>
      </x:c>
    </x:row>
    <x:row r="9" ht="42" customHeight="1">
      <x:c r="A9" s="29" t="str">
        <x:v>T-008</x:v>
      </x:c>
      <x:c r="B9" s="17" t="str">
        <x:v>Build بک‌اند</x:v>
      </x:c>
      <x:c r="C9" s="17" t="str">
        <x:v>بک‌اند</x:v>
      </x:c>
      <x:c r="D9" s="17" t="str">
        <x:v>Build</x:v>
      </x:c>
      <x:c r="E9" s="17" t="str">
        <x:v>بالا</x:v>
      </x:c>
      <x:c r="F9" s="17" t="str">
        <x:v>قطعی</x:v>
      </x:c>
      <x:c r="G9" s="17" t="str">
        <x:v>dotnet build با Build FAILED تمام شد چون Carnix.exe توسط پروسه Carnix (PID 31560) قفل بود.</x:v>
      </x:c>
      <x:c r="H9" s="17" t="str">
        <x:v>نتیجه build قابل تکرار نیست و CI یا release ممکن است متوقف شود.</x:v>
      </x:c>
      <x:c r="I9" s="17" t="str">
        <x:v>backend-audit-build.log؛ خطاهای MSB3021/MSB3027</x:v>
      </x:c>
      <x:c r="J9" s="17" t="str">
        <x:v>خروجی build را از مسیر اجرا جدا کنید و قبل از build پروسه/خروجی قبلی را مدیریت کنید.</x:v>
      </x:c>
      <x:c r="K9" s="17" t="str">
        <x:v>باز</x:v>
      </x:c>
      <x:c r="L9" s="28" t="n">
        <x:v>0</x:v>
      </x:c>
      <x:c r="M9" s="17" t="str">
        <x:v>خطا با source compile اشتباه نشود؛ lock محیطی در اجرای جاری ثبت شد.</x:v>
      </x:c>
    </x:row>
    <x:row r="10" ht="42" customHeight="1">
      <x:c r="A10" s="29" t="str">
        <x:v>T-009</x:v>
      </x:c>
      <x:c r="B10" s="17" t="str">
        <x:v>امنیت وابستگی</x:v>
      </x:c>
      <x:c r="C10" s="17" t="str">
        <x:v>بک‌اند</x:v>
      </x:c>
      <x:c r="D10" s="17" t="str">
        <x:v>NuGet audit</x:v>
      </x:c>
      <x:c r="E10" s="17" t="str">
        <x:v>بحرانی</x:v>
      </x:c>
      <x:c r="F10" s="17" t="str">
        <x:v>قطعی</x:v>
      </x:c>
      <x:c r="G10" s="17" t="str">
        <x:v>System.Drawing.Common 4.7.0 و System.Text.Encodings.Web 4.5.0 با NU1904 گزارش شدند.</x:v>
      </x:c>
      <x:c r="H10" s="17" t="str">
        <x:v>آسیب‌پذیری بحرانی در زنجیره تولید می‌تواند به compromise یا denial of service منجر شود.</x:v>
      </x:c>
      <x:c r="I10" s="17" t="str">
        <x:v>backend-audit-build.log؛ NU1904</x:v>
      </x:c>
      <x:c r="J10" s="17" t="str">
        <x:v>نسخه امن سازگار را ارتقا دهید، dependency graph را بازبینی و audit را در CI fail کنید.</x:v>
      </x:c>
      <x:c r="K10" s="17" t="str">
        <x:v>باز</x:v>
      </x:c>
      <x:c r="L10" s="28" t="n">
        <x:v>0</x:v>
      </x:c>
      <x:c r="M10" s="17" t="str">
        <x:v>قبل از انتشار production اولویت صفر</x:v>
      </x:c>
    </x:row>
    <x:row r="11" ht="42" customHeight="1">
      <x:c r="A11" s="29" t="str">
        <x:v>T-010</x:v>
      </x:c>
      <x:c r="B11" s="17" t="str">
        <x:v>امنیت وابستگی</x:v>
      </x:c>
      <x:c r="C11" s="17" t="str">
        <x:v>بک‌اند</x:v>
      </x:c>
      <x:c r="D11" s="17" t="str">
        <x:v>NuGet audit</x:v>
      </x:c>
      <x:c r="E11" s="17" t="str">
        <x:v>بالا</x:v>
      </x:c>
      <x:c r="F11" s="17" t="str">
        <x:v>قطعی</x:v>
      </x:c>
      <x:c r="G11" s="17" t="str">
        <x:v>AutoMapper 12.0.1، Microsoft.Data.SqlClient 2.1.4 و Memory 6.0.1 با NU1903 گزارش شدند.</x:v>
      </x:c>
      <x:c r="H11" s="17" t="str">
        <x:v>کتابخانه‌های دارای CVE سطح حمله را افزایش می‌دهند.</x:v>
      </x:c>
      <x:c r="I11" s="17" t="str">
        <x:v>backend-audit-build.log؛ NU1903</x:v>
      </x:c>
      <x:c r="J11" s="17" t="str">
        <x:v>به نسخه‌های وصله‌شده ارتقا دهید و lockfile/restore را در CI بررسی کنید.</x:v>
      </x:c>
      <x:c r="K11" s="17" t="str">
        <x:v>باز</x:v>
      </x:c>
      <x:c r="L11" s="28" t="n">
        <x:v>0</x:v>
      </x:c>
      <x:c r="M11" s="17" t="str"/>
    </x:row>
    <x:row r="12" ht="42" customHeight="1">
      <x:c r="A12" s="29" t="str">
        <x:v>T-011</x:v>
      </x:c>
      <x:c r="B12" s="17" t="str">
        <x:v>سازگاری runtime</x:v>
      </x:c>
      <x:c r="C12" s="17" t="str">
        <x:v>بک‌اند</x:v>
      </x:c>
      <x:c r="D12" s="17" t="str">
        <x:v>Dependencies</x:v>
      </x:c>
      <x:c r="E12" s="17" t="str">
        <x:v>بالا</x:v>
      </x:c>
      <x:c r="F12" s="17" t="str">
        <x:v>قطعی</x:v>
      </x:c>
      <x:c r="G12" s="17" t="str">
        <x:v>پروژه‌ها net6.0 هستند ولی چند PackageReference از ASP.NET Core 2.1 و Ghasedak با NU1701 restore شده‌اند.</x:v>
      </x:c>
      <x:c r="H12" s="17" t="str">
        <x:v>ناسازگاری runtime و رفتار متفاوت در production محتمل است.</x:v>
      </x:c>
      <x:c r="I12" s="17" t="str">
        <x:v>Carnix/*/*.csproj؛ هشدارهای NU1701</x:v>
      </x:c>
      <x:c r="J12" s="17" t="str">
        <x:v>نسخه‌های framework-aligned را جایگزین و restore تمیز را روی net8 یا نسخه پشتیبانی‌شده انجام دهید.</x:v>
      </x:c>
      <x:c r="K12" s="17" t="str">
        <x:v>باز</x:v>
      </x:c>
      <x:c r="L12" s="28" t="n">
        <x:v>0</x:v>
      </x:c>
      <x:c r="M12" s="17" t="str">
        <x:v>ارتقای framework باید با migration plan انجام شود.</x:v>
      </x:c>
    </x:row>
    <x:row r="13" ht="42" customHeight="1">
      <x:c r="A13" s="29" t="str">
        <x:v>T-012</x:v>
      </x:c>
      <x:c r="B13" s="17" t="str">
        <x:v>کیفیت بک‌اند</x:v>
      </x:c>
      <x:c r="C13" s="17" t="str">
        <x:v>بک‌اند</x:v>
      </x:c>
      <x:c r="D13" s="17" t="str">
        <x:v>Nullable</x:v>
      </x:c>
      <x:c r="E13" s="17" t="str">
        <x:v>متوسط</x:v>
      </x:c>
      <x:c r="F13" s="17" t="str">
        <x:v>قطعی</x:v>
      </x:c>
      <x:c r="G13" s="17" t="str">
        <x:v>build لااقل هشدارهای CS8601/CS8602/CS8604 در controllerها و serviceها دارد.</x:v>
      </x:c>
      <x:c r="H13" s="17" t="str">
        <x:v>null در runtime می‌تواند پاسخ ۵۰۰ یا داده ناقص تولید کند.</x:v>
      </x:c>
      <x:c r="I13" s="17" t="str">
        <x:v>backend-audit-build.log؛ AuthController, ProfileController, AddressesController و چند controller محصول</x:v>
      </x:c>
      <x:c r="J13" s="17" t="str">
        <x:v>DTOها و guardهای null را اصلاح و nullable warnings را به صفر برسانید.</x:v>
      </x:c>
      <x:c r="K13" s="17" t="str">
        <x:v>باز</x:v>
      </x:c>
      <x:c r="L13" s="28" t="n">
        <x:v>0</x:v>
      </x:c>
      <x:c r="M13" s="17" t="str"/>
    </x:row>
    <x:row r="14" ht="42" customHeight="1">
      <x:c r="A14" s="29" t="str">
        <x:v>T-013</x:v>
      </x:c>
      <x:c r="B14" s="17" t="str">
        <x:v>پیچیدگی سرویس</x:v>
      </x:c>
      <x:c r="C14" s="17" t="str">
        <x:v>بک‌اند</x:v>
      </x:c>
      <x:c r="D14" s="17" t="str">
        <x:v>Maintainability</x:v>
      </x:c>
      <x:c r="E14" s="17" t="str">
        <x:v>بالا</x:v>
      </x:c>
      <x:c r="F14" s="17" t="str">
        <x:v>قطعی</x:v>
      </x:c>
      <x:c r="G14" s="17" t="str">
        <x:v>ProductService.cs حدود ۲۳۵۹ خط است.</x:v>
      </x:c>
      <x:c r="H14" s="17" t="str">
        <x:v>تغییر محصول دامنه اثر بزرگ و تست دشوار دارد.</x:v>
      </x:c>
      <x:c r="I14" s="17" t="str">
        <x:v>Carnix/Application/Services/Product/ProductService.cs</x:v>
      </x:c>
      <x:c r="J14" s="17" t="str">
        <x:v>سرویس list/detail/pricing/media/review را به application serviceهای کوچک تقسیم کنید.</x:v>
      </x:c>
      <x:c r="K14" s="17" t="str">
        <x:v>باز</x:v>
      </x:c>
      <x:c r="L14" s="28" t="n">
        <x:v>0</x:v>
      </x:c>
      <x:c r="M14" s="17" t="str">
        <x:v>خط‌شماری static</x:v>
      </x:c>
    </x:row>
    <x:row r="15" ht="42" customHeight="1">
      <x:c r="A15" s="29" t="str">
        <x:v>T-014</x:v>
      </x:c>
      <x:c r="B15" s="17" t="str">
        <x:v>پیچیدگی سرویس</x:v>
      </x:c>
      <x:c r="C15" s="17" t="str">
        <x:v>بک‌اند</x:v>
      </x:c>
      <x:c r="D15" s="17" t="str">
        <x:v>Maintainability</x:v>
      </x:c>
      <x:c r="E15" s="17" t="str">
        <x:v>بالا</x:v>
      </x:c>
      <x:c r="F15" s="17" t="str">
        <x:v>قطعی</x:v>
      </x:c>
      <x:c r="G15" s="17" t="str">
        <x:v>GenericService.cs حدود ۲۲۲۱ خط است.</x:v>
      </x:c>
      <x:c r="H15" s="17" t="str">
        <x:v>generic behavior بیش از حد گسترده و خطاهای پنهان در endpointهای مختلف ایجاد می‌کند.</x:v>
      </x:c>
      <x:c r="I15" s="17" t="str">
        <x:v>Carnix/Application/Services/Common/GenericService.cs</x:v>
      </x:c>
      <x:c r="J15" s="17" t="str">
        <x:v>قراردادهای محدود و سرویس‌های domain-specific بسازید.</x:v>
      </x:c>
      <x:c r="K15" s="17" t="str">
        <x:v>باز</x:v>
      </x:c>
      <x:c r="L15" s="28" t="n">
        <x:v>0</x:v>
      </x:c>
      <x:c r="M15" s="17" t="str"/>
    </x:row>
    <x:row r="16" ht="42" customHeight="1">
      <x:c r="A16" s="29" t="str">
        <x:v>T-015</x:v>
      </x:c>
      <x:c r="B16" s="17" t="str">
        <x:v>پیچیدگی سرویس</x:v>
      </x:c>
      <x:c r="C16" s="17" t="str">
        <x:v>بک‌اند</x:v>
      </x:c>
      <x:c r="D16" s="17" t="str">
        <x:v>Maintainability</x:v>
      </x:c>
      <x:c r="E16" s="17" t="str">
        <x:v>متوسط</x:v>
      </x:c>
      <x:c r="F16" s="17" t="str">
        <x:v>قطعی</x:v>
      </x:c>
      <x:c r="G16" s="17" t="str">
        <x:v>ShippingService.cs حدود ۱۶۴۹ خط و AuthService.cs حدود ۱۳۴۰ خط هستند.</x:v>
      </x:c>
      <x:c r="H16" s="17" t="str">
        <x:v>تغییرات ارسال و احراز هویت احتمال side effect بین مسیرها دارد.</x:v>
      </x:c>
      <x:c r="I16" s="17" t="str">
        <x:v>Carnix/Application/Services/Shipping/ShippingService.cs؛ AuthService.cs</x:v>
      </x:c>
      <x:c r="J16" s="17" t="str">
        <x:v>policy، provider و orchestration را تفکیک و تست contract اضافه کنید.</x:v>
      </x:c>
      <x:c r="K16" s="17" t="str">
        <x:v>باز</x:v>
      </x:c>
      <x:c r="L16" s="28" t="n">
        <x:v>0</x:v>
      </x:c>
      <x:c r="M16" s="17" t="str"/>
    </x:row>
    <x:row r="17" ht="42" customHeight="1">
      <x:c r="A17" s="29" t="str">
        <x:v>T-016</x:v>
      </x:c>
      <x:c r="B17" s="17" t="str">
        <x:v>پیچیدگی state</x:v>
      </x:c>
      <x:c r="C17" s="17" t="str">
        <x:v>فرانت</x:v>
      </x:c>
      <x:c r="D17" s="17" t="str">
        <x:v>Architecture</x:v>
      </x:c>
      <x:c r="E17" s="17" t="str">
        <x:v>متوسط</x:v>
      </x:c>
      <x:c r="F17" s="17" t="str">
        <x:v>قطعی</x:v>
      </x:c>
      <x:c r="G17" s="17" t="str">
        <x:v>productSlice.ts حدود ۱۱۵۱ خط است.</x:v>
      </x:c>
      <x:c r="H17" s="17" t="str">
        <x:v>هر تغییر list/detail/filter/bundle دامنه اثر بزرگی دارد.</x:v>
      </x:c>
      <x:c r="I17" s="17" t="str">
        <x:v>ui/src/store/feature/product/productSlice.ts</x:v>
      </x:c>
      <x:c r="J17" s="17" t="str">
        <x:v>state list، detail، filter و bundle را به مالکیت‌های جدا منتقل کنید.</x:v>
      </x:c>
      <x:c r="K17" s="17" t="str">
        <x:v>باز</x:v>
      </x:c>
      <x:c r="L17" s="28" t="n">
        <x:v>0</x:v>
      </x:c>
      <x:c r="M17" s="17" t="str"/>
    </x:row>
    <x:row r="18" ht="42" customHeight="1">
      <x:c r="A18" s="29" t="str">
        <x:v>T-017</x:v>
      </x:c>
      <x:c r="B18" s="17" t="str">
        <x:v>پیچیدگی component</x:v>
      </x:c>
      <x:c r="C18" s="17" t="str">
        <x:v>فرانت</x:v>
      </x:c>
      <x:c r="D18" s="17" t="str">
        <x:v>Architecture</x:v>
      </x:c>
      <x:c r="E18" s="17" t="str">
        <x:v>متوسط</x:v>
      </x:c>
      <x:c r="F18" s="17" t="str">
        <x:v>قطعی</x:v>
      </x:c>
      <x:c r="G18" s="17" t="str">
        <x:v>VehicleSelect.tsx حدود ۱۰۲۹ خط است.</x:v>
      </x:c>
      <x:c r="H18" s="17" t="str">
        <x:v>کنترل state و responsive آن سخت و regression-prone است.</x:v>
      </x:c>
      <x:c r="I18" s="17" t="str">
        <x:v>ui/src/features/vehicle/components/VehicleSelect.tsx</x:v>
      </x:c>
      <x:c r="J18" s="17" t="str">
        <x:v>hook داده، dropdown، step و mobile view را تفکیک کنید.</x:v>
      </x:c>
      <x:c r="K18" s="17" t="str">
        <x:v>باز</x:v>
      </x:c>
      <x:c r="L18" s="28" t="n">
        <x:v>0</x:v>
      </x:c>
      <x:c r="M18" s="17" t="str"/>
    </x:row>
    <x:row r="19" ht="42" customHeight="1">
      <x:c r="A19" s="29" t="str">
        <x:v>T-018</x:v>
      </x:c>
      <x:c r="B19" s="17" t="str">
        <x:v>پیچیدگی checkout</x:v>
      </x:c>
      <x:c r="C19" s="17" t="str">
        <x:v>فرانت</x:v>
      </x:c>
      <x:c r="D19" s="17" t="str">
        <x:v>Architecture</x:v>
      </x:c>
      <x:c r="E19" s="17" t="str">
        <x:v>بالا</x:v>
      </x:c>
      <x:c r="F19" s="17" t="str">
        <x:v>قطعی</x:v>
      </x:c>
      <x:c r="G19" s="17" t="str">
        <x:v>CartStep2.tsx حدود ۶۷۸ خط، cartThunks.ts حدود ۶۷۸ خط و CartStep3.tsx حدود ۶۱۶ خط هستند.</x:v>
      </x:c>
      <x:c r="H19" s="17" t="str">
        <x:v>back/refresh و خطاهای مرحله‌ای شکننده می‌شوند.</x:v>
      </x:c>
      <x:c r="I19" s="17" t="str">
        <x:v>ui/src/components/cart؛ ui/src/store/feature/cart/cartThunks.ts</x:v>
      </x:c>
      <x:c r="J19" s="17" t="str">
        <x:v>ماشین حالت checkout و serviceهای quote/order/payment را جدا و تست کنید.</x:v>
      </x:c>
      <x:c r="K19" s="17" t="str">
        <x:v>باز</x:v>
      </x:c>
      <x:c r="L19" s="28" t="n">
        <x:v>0</x:v>
      </x:c>
      <x:c r="M19" s="17" t="str"/>
    </x:row>
    <x:row r="20" ht="42" customHeight="1">
      <x:c r="A20" s="29" t="str">
        <x:v>T-019</x:v>
      </x:c>
      <x:c r="B20" s="17" t="str">
        <x:v>قرارداد API</x:v>
      </x:c>
      <x:c r="C20" s="17" t="str">
        <x:v>فرانت</x:v>
      </x:c>
      <x:c r="D20" s="17" t="str">
        <x:v>Data parsing</x:v>
      </x:c>
      <x:c r="E20" s="17" t="str">
        <x:v>بالا</x:v>
      </x:c>
      <x:c r="F20" s="17" t="str">
        <x:v>قطعی</x:v>
      </x:c>
      <x:c r="G20" s="17" t="str">
        <x:v>حداقل ۴۷ الگوی مستقیم response.data.data یا response.data مشابه خارج از adapter محصول باقی مانده است.</x:v>
      </x:c>
      <x:c r="H20" s="17" t="str">
        <x:v>تغییر envelope بک‌اند می‌تواند فقط بعضی featureها را خراب کند.</x:v>
      </x:c>
      <x:c r="I20" s="17" t="str">
        <x:v>ui/src/store/feature؛ scan پاسخ API در 2026-09-13</x:v>
      </x:c>
      <x:c r="J20" s="17" t="str">
        <x:v>یک adapter typed مشترک برای تمام featureها اعمال و schema validation اضافه کنید.</x:v>
      </x:c>
      <x:c r="K20" s="17" t="str">
        <x:v>باز</x:v>
      </x:c>
      <x:c r="L20" s="28" t="n">
        <x:v>0</x:v>
      </x:c>
      <x:c r="M20" s="17" t="str">
        <x:v>نمونه‌ها در vehicle/profile/address/review/content دیده شد.</x:v>
      </x:c>
    </x:row>
    <x:row r="21" ht="42" customHeight="1">
      <x:c r="A21" s="29" t="str">
        <x:v>T-020</x:v>
      </x:c>
      <x:c r="B21" s="17" t="str">
        <x:v>Type safety</x:v>
      </x:c>
      <x:c r="C21" s="17" t="str">
        <x:v>فرانت</x:v>
      </x:c>
      <x:c r="D21" s="17" t="str">
        <x:v>Data model</x:v>
      </x:c>
      <x:c r="E21" s="17" t="str">
        <x:v>بالا</x:v>
      </x:c>
      <x:c r="F21" s="17" t="str">
        <x:v>قطعی</x:v>
      </x:c>
      <x:c r="G21" s="17" t="str">
        <x:v>any در profileThunks، cart dropdown، price utility، CartApi و صفحات brands/vehicles استفاده می‌شود.</x:v>
      </x:c>
      <x:c r="H21" s="17" t="str">
        <x:v>خطای شکل داده یا undefined در checkout و پروفایل در compile-time دیده نمی‌شود.</x:v>
      </x:c>
      <x:c r="I21" s="17" t="str">
        <x:v>مسیرهای فوق در scan any؛ ui/lint-audit.json</x:v>
      </x:c>
      <x:c r="J21" s="17" t="str">
        <x:v>مدل‌های Cart/Profile/Brand/Vehicle و error را کامل typed کنید.</x:v>
      </x:c>
      <x:c r="K21" s="17" t="str">
        <x:v>باز</x:v>
      </x:c>
      <x:c r="L21" s="28" t="n">
        <x:v>0</x:v>
      </x:c>
      <x:c r="M21" s="17" t="str"/>
    </x:row>
    <x:row r="22" ht="42" customHeight="1">
      <x:c r="A22" s="29" t="str">
        <x:v>T-021</x:v>
      </x:c>
      <x:c r="B22" s="17" t="str">
        <x:v>یکپارچگی UI</x:v>
      </x:c>
      <x:c r="C22" s="17" t="str">
        <x:v>فرانت</x:v>
      </x:c>
      <x:c r="D22" s="17" t="str">
        <x:v>Forms</x:v>
      </x:c>
      <x:c r="E22" s="17" t="str">
        <x:v>متوسط</x:v>
      </x:c>
      <x:c r="F22" s="17" t="str">
        <x:v>قطعی</x:v>
      </x:c>
      <x:c r="G22" s="17" t="str">
        <x:v>۹ native select در ProfileInfo، AddressModal، diagnose و چند مسیر باقی مانده، در کنار AppSelect/VehicleSelect.</x:v>
      </x:c>
      <x:c r="H22" s="17" t="str">
        <x:v>ظاهر، keyboard behavior و فاصله dropdownها در صفحات یکسان نیست.</x:v>
      </x:c>
      <x:c r="I22" s="17" t="str">
        <x:v>ui/src scan `&lt;select&gt;`؛ 9 مورد</x:v>
      </x:c>
      <x:c r="J22" s="17" t="str">
        <x:v>یک primitive مشترک select با label، error، keyboard و mobile behavior استفاده کنید.</x:v>
      </x:c>
      <x:c r="K22" s="17" t="str">
        <x:v>باز</x:v>
      </x:c>
      <x:c r="L22" s="28" t="n">
        <x:v>0</x:v>
      </x:c>
      <x:c r="M22" s="17" t="str"/>
    </x:row>
    <x:row r="23" ht="42" customHeight="1">
      <x:c r="A23" s="29" t="str">
        <x:v>T-022</x:v>
      </x:c>
      <x:c r="B23" s="17" t="str">
        <x:v>امنیت HTML</x:v>
      </x:c>
      <x:c r="C23" s="17" t="str">
        <x:v>فرانت</x:v>
      </x:c>
      <x:c r="D23" s="17" t="str">
        <x:v>XSS surface</x:v>
      </x:c>
      <x:c r="E23" s="17" t="str">
        <x:v>بالا</x:v>
      </x:c>
      <x:c r="F23" s="17" t="str">
        <x:v>قطعی</x:v>
      </x:c>
      <x:c r="G23" s="17" t="str">
        <x:v>۳ استفاده از dangerouslySetInnerHTML وجود دارد؛ SafeHtml بخشی را sanitize می‌کند اما review همه ورودی‌ها لازم است.</x:v>
      </x:c>
      <x:c r="H23" s="17" t="str">
        <x:v>محتوای CMS یا مقاله در صورت sanitize ناقص می‌تواند XSS ایجاد کند.</x:v>
      </x:c>
      <x:c r="I23" s="17" t="str">
        <x:v>ui/src؛ scan dangerouslySetInnerHTML</x:v>
      </x:c>
      <x:c r="J23" s="17" t="str">
        <x:v>ورودی‌ها را با allowlist محدود، sanitize server/client و تست payload بررسی کنید.</x:v>
      </x:c>
      <x:c r="K23" s="17" t="str">
        <x:v>باز</x:v>
      </x:c>
      <x:c r="L23" s="28" t="n">
        <x:v>0</x:v>
      </x:c>
      <x:c r="M23" s="17" t="str">
        <x:v>استفاده به‌خودی‌خود آسیب‌پذیری قطعی نیست؛ نیازمند trace منبع داده است.</x:v>
      </x:c>
    </x:row>
    <x:row r="24" ht="42" customHeight="1">
      <x:c r="A24" s="29" t="str">
        <x:v>T-023</x:v>
      </x:c>
      <x:c r="B24" s="17" t="str">
        <x:v>امنیت تنظیمات</x:v>
      </x:c>
      <x:c r="C24" s="17" t="str">
        <x:v>بک‌اند</x:v>
      </x:c>
      <x:c r="D24" s="17" t="str">
        <x:v>Configuration</x:v>
      </x:c>
      <x:c r="E24" s="17" t="str">
        <x:v>بالا</x:v>
      </x:c>
      <x:c r="F24" s="17" t="str">
        <x:v>قطعی</x:v>
      </x:c>
      <x:c r="G24" s="17" t="str">
        <x:v>Connection string شامل TrustServerCertificate=True است.</x:v>
      </x:c>
      <x:c r="H24" s="17" t="str">
        <x:v>اعتبارسنجی گواهی SQL در محیط production تضعیف می‌شود.</x:v>
      </x:c>
      <x:c r="I24" s="17" t="str">
        <x:v>Carnix/Carnix/appsettings.json:3</x:v>
      </x:c>
      <x:c r="J24" s="17" t="str">
        <x:v>گواهی معتبر و secret خارج از فایل را برای production اجباری کنید.</x:v>
      </x:c>
      <x:c r="K24" s="17" t="str">
        <x:v>باز</x:v>
      </x:c>
      <x:c r="L24" s="28" t="n">
        <x:v>0</x:v>
      </x:c>
      <x:c r="M24" s="17" t="str">
        <x:v>برای local development قابل قبول، برای production نیازمند override امن</x:v>
      </x:c>
    </x:row>
    <x:row r="25" ht="42" customHeight="1">
      <x:c r="A25" s="29" t="str">
        <x:v>T-024</x:v>
      </x:c>
      <x:c r="B25" s="17" t="str">
        <x:v>امنیت تنظیمات</x:v>
      </x:c>
      <x:c r="C25" s="17" t="str">
        <x:v>بک‌اند</x:v>
      </x:c>
      <x:c r="D25" s="17" t="str">
        <x:v>Configuration</x:v>
      </x:c>
      <x:c r="E25" s="17" t="str">
        <x:v>متوسط</x:v>
      </x:c>
      <x:c r="F25" s="17" t="str">
        <x:v>قطعی</x:v>
      </x:c>
      <x:c r="G25" s="17" t="str">
        <x:v>AllowedHosts در appsettings روی * تنظیم شده است.</x:v>
      </x:c>
      <x:c r="H25" s="17" t="str">
        <x:v>سطح host header پذیرفته‌شده بیش از نیاز واقعی است.</x:v>
      </x:c>
      <x:c r="I25" s="17" t="str">
        <x:v>Carnix/Carnix/appsettings.json</x:v>
      </x:c>
      <x:c r="J25" s="17" t="str">
        <x:v>hostهای production را صریح whitelist کنید.</x:v>
      </x:c>
      <x:c r="K25" s="17" t="str">
        <x:v>باز</x:v>
      </x:c>
      <x:c r="L25" s="28" t="n">
        <x:v>0</x:v>
      </x:c>
      <x:c r="M25" s="17" t="str"/>
    </x:row>
    <x:row r="26" ht="42" customHeight="1">
      <x:c r="A26" s="29" t="str">
        <x:v>T-025</x:v>
      </x:c>
      <x:c r="B26" s="17" t="str">
        <x:v>داده حساس</x:v>
      </x:c>
      <x:c r="C26" s="17" t="str">
        <x:v>بک‌اند</x:v>
      </x:c>
      <x:c r="D26" s="17" t="str">
        <x:v>Secrets</x:v>
      </x:c>
      <x:c r="E26" s="17" t="str">
        <x:v>بحرانی</x:v>
      </x:c>
      <x:c r="F26" s="17" t="str">
        <x:v>قطعی</x:v>
      </x:c>
      <x:c r="G26" s="17" t="str">
        <x:v>SmsSettings.ApiKey در appsettings خالی و connection string در فایل تنظیمات نگهداری می‌شود.</x:v>
      </x:c>
      <x:c r="H26" s="17" t="str">
        <x:v>پیکربندی ناقص یا انتقال secret به source control خطر outage یا افشا دارد.</x:v>
      </x:c>
      <x:c r="I26" s="17" t="str">
        <x:v>Carnix/Carnix/appsettings.json:2-21</x:v>
      </x:c>
      <x:c r="J26" s="17" t="str">
        <x:v>Secret manager/environment variables و validation startup برای production اضافه کنید.</x:v>
      </x:c>
      <x:c r="K26" s="17" t="str">
        <x:v>باز</x:v>
      </x:c>
      <x:c r="L26" s="28" t="n">
        <x:v>0</x:v>
      </x:c>
      <x:c r="M26" s="17" t="str">
        <x:v>مقدار فعلی خالی است؛ وجود secret واقعی باید در محیط deploy کنترل شود.</x:v>
      </x:c>
    </x:row>
    <x:row r="27" ht="42" customHeight="1">
      <x:c r="A27" s="29" t="str">
        <x:v>T-026</x:v>
      </x:c>
      <x:c r="B27" s="17" t="str">
        <x:v>معماری API</x:v>
      </x:c>
      <x:c r="C27" s="17" t="str">
        <x:v>فرانت</x:v>
      </x:c>
      <x:c r="D27" s="17" t="str">
        <x:v>Duplication</x:v>
      </x:c>
      <x:c r="E27" s="17" t="str">
        <x:v>متوسط</x:v>
      </x:c>
      <x:c r="F27" s="17" t="str">
        <x:v>قطعی</x:v>
      </x:c>
      <x:c r="G27" s="17" t="str">
        <x:v>دو لایه API محصول در features/product/api و services/api/product هم‌زمان وجود دارد.</x:v>
      </x:c>
      <x:c r="H27" s="17" t="str">
        <x:v>دو قرارداد و منطق fallback می‌تواند رفتار متفاوت و باگ cache بسازد.</x:v>
      </x:c>
      <x:c r="I27" s="17" t="str">
        <x:v>ui/src/features/product/api؛ ui/src/services/api/product</x:v>
      </x:c>
      <x:c r="J27" s="17" t="str">
        <x:v>یک مرز API رسمی تعیین و لایه قدیمی را حذف یا مستند کنید.</x:v>
      </x:c>
      <x:c r="K27" s="17" t="str">
        <x:v>باز</x:v>
      </x:c>
      <x:c r="L27" s="28" t="n">
        <x:v>0</x:v>
      </x:c>
      <x:c r="M27" s="17" t="str"/>
    </x:row>
    <x:row r="28" ht="42" customHeight="1">
      <x:c r="A28" s="29" t="str">
        <x:v>T-027</x:v>
      </x:c>
      <x:c r="B28" s="17" t="str">
        <x:v>کارایی تصویر</x:v>
      </x:c>
      <x:c r="C28" s="17" t="str">
        <x:v>فرانت</x:v>
      </x:c>
      <x:c r="D28" s="17" t="str">
        <x:v>Assets</x:v>
      </x:c>
      <x:c r="E28" s="17" t="str">
        <x:v>متوسط</x:v>
      </x:c>
      <x:c r="F28" s="17" t="str">
        <x:v>قطعی</x:v>
      </x:c>
      <x:c r="G28" s="17" t="str">
        <x:v>چند asset محلی JPG/PNG بین حدود ۲۰۰ تا ۳۵۳KB هستند و نام‌های Screenshot دارند.</x:v>
      </x:c>
      <x:c r="H28" s="17" t="str">
        <x:v>حجم اولیه موبایل و LCP بالا می‌رود.</x:v>
      </x:c>
      <x:c r="I28" s="17" t="str">
        <x:v>ui/src/assets/images؛ بزرگ‌ترین فایل car-part-4.jpg با 353158 bytes</x:v>
      </x:c>
      <x:c r="J28" s="17" t="str">
        <x:v>تصاویر را فشرده/AVIF/WebP کنید و preload/priority را فقط برای hero تنظیم کنید.</x:v>
      </x:c>
      <x:c r="K28" s="17" t="str">
        <x:v>باز</x:v>
      </x:c>
      <x:c r="L28" s="28" t="n">
        <x:v>0</x:v>
      </x:c>
      <x:c r="M28" s="17" t="str">
        <x:v>next/image فعال است اما منبع خام هنوز سنگین است.</x:v>
      </x:c>
    </x:row>
    <x:row r="29" ht="42" customHeight="1">
      <x:c r="A29" s="29" t="str">
        <x:v>T-028</x:v>
      </x:c>
      <x:c r="B29" s="17" t="str">
        <x:v>پایداری نشست</x:v>
      </x:c>
      <x:c r="C29" s="17" t="str">
        <x:v>فرانت و بک</x:v>
      </x:c>
      <x:c r="D29" s="17" t="str">
        <x:v>Auth</x:v>
      </x:c>
      <x:c r="E29" s="17" t="str">
        <x:v>بالا</x:v>
      </x:c>
      <x:c r="F29" s="17" t="str">
        <x:v>قطعی</x:v>
      </x:c>
      <x:c r="G29" s="17" t="str">
        <x:v>refresh و cookie امن در کد وجود دارد، اما پذیرش واقعی rotation/revoke و هم‌زمانی چند request با API زنده تست نشده است.</x:v>
      </x:c>
      <x:c r="H29" s="17" t="str">
        <x:v>انقضای access token می‌تواند به logout ناخواسته یا refresh race منجر شود.</x:v>
      </x:c>
      <x:c r="I29" s="17" t="str">
        <x:v>ui/src/services/api/common/axiosClient.ts؛ ui/src/app/api/auth/refresh/route.ts</x:v>
      </x:c>
      <x:c r="J29" s="17" t="str">
        <x:v>سناریوی expiry، rotation، revoke، دو تب و replay را با API واقعی تست کنید.</x:v>
      </x:c>
      <x:c r="K29" s="17" t="str">
        <x:v>نیازمند تست</x:v>
      </x:c>
      <x:c r="L29" s="28" t="n">
        <x:v>50</x:v>
      </x:c>
      <x:c r="M29" s="17" t="str">
        <x:v>check:critical پاس است اما تست زنده کامل نیست.</x:v>
      </x:c>
    </x:row>
    <x:row r="30" ht="42" customHeight="1">
      <x:c r="A30" s="29" t="str">
        <x:v>T-029</x:v>
      </x:c>
      <x:c r="B30" s="17" t="str">
        <x:v>پرداخت</x:v>
      </x:c>
      <x:c r="C30" s="17" t="str">
        <x:v>فرانت و بک</x:v>
      </x:c>
      <x:c r="D30" s="17" t="str">
        <x:v>Checkout</x:v>
      </x:c>
      <x:c r="E30" s="17" t="str">
        <x:v>بحرانی</x:v>
      </x:c>
      <x:c r="F30" s="17" t="str">
        <x:v>قطعی</x:v>
      </x:c>
      <x:c r="G30" s="17" t="str">
        <x:v>state machine و endpointهای payment در کد دیده می‌شوند، اما gateway واقعی و callback/verify در محیط پذیرش اجرا نشده است.</x:v>
      </x:c>
      <x:c r="H30" s="17" t="str">
        <x:v>نمایش موفقیت بدون تراکنش تأییدشده ممکن است.</x:v>
      </x:c>
      <x:c r="I30" s="17" t="str">
        <x:v>ui/src/features/checkout؛ Carnix/Carnix/Controllers/PaymentController.cs</x:v>
      </x:c>
      <x:c r="J30" s="17" t="str">
        <x:v>تست end-to-end با sandbox gateway، idempotency و callback replay اضافه کنید.</x:v>
      </x:c>
      <x:c r="K30" s="17" t="str">
        <x:v>نیازمند تست</x:v>
      </x:c>
      <x:c r="L30" s="28" t="n">
        <x:v>70</x:v>
      </x:c>
      <x:c r="M30" s="17" t="str"/>
    </x:row>
    <x:row r="31" ht="42" customHeight="1">
      <x:c r="A31" s="29" t="str">
        <x:v>T-030</x:v>
      </x:c>
      <x:c r="B31" s="17" t="str">
        <x:v>داده سفارش</x:v>
      </x:c>
      <x:c r="C31" s="17" t="str">
        <x:v>فرانت و بک</x:v>
      </x:c>
      <x:c r="D31" s="17" t="str">
        <x:v>Orders</x:v>
      </x:c>
      <x:c r="E31" s="17" t="str">
        <x:v>بالا</x:v>
      </x:c>
      <x:c r="F31" s="17" t="str">
        <x:v>قطعی</x:v>
      </x:c>
      <x:c r="G31" s="17" t="str">
        <x:v>صفحه cart بدون session ابتدا پیام loading نشان می‌دهد و در runtime بین SSR و client mismatch رخ می‌دهد.</x:v>
      </x:c>
      <x:c r="H31" s="17" t="str">
        <x:v>کاربر flicker می‌بیند و React بخشی از tree را دوباره می‌سازد.</x:v>
      </x:c>
      <x:c r="I31" s="17" t="str">
        <x:v>runtime `/cart`؛ console: Hydration failed؛ CartPage</x:v>
      </x:c>
      <x:c r="J31" s="17" t="str">
        <x:v>render اولیه را deterministic کنید و auth/session را بعد از mount بدون تغییر متن SSR هماهنگ کنید.</x:v>
      </x:c>
      <x:c r="K31" s="17" t="str">
        <x:v>باز</x:v>
      </x:c>
      <x:c r="L31" s="28" t="n">
        <x:v>0</x:v>
      </x:c>
      <x:c r="M31" s="17" t="str">
        <x:v>خطا در مرورگر در 2026-09-13 مشاهده شد.</x:v>
      </x:c>
    </x:row>
    <x:row r="32" ht="42" customHeight="1">
      <x:c r="A32" s="29" t="str">
        <x:v>T-031</x:v>
      </x:c>
      <x:c r="B32" s="17" t="str">
        <x:v>پایداری SSR</x:v>
      </x:c>
      <x:c r="C32" s="17" t="str">
        <x:v>فرانت</x:v>
      </x:c>
      <x:c r="D32" s="17" t="str">
        <x:v>Hydration</x:v>
      </x:c>
      <x:c r="E32" s="17" t="str">
        <x:v>بالا</x:v>
      </x:c>
      <x:c r="F32" s="17" t="str">
        <x:v>قطعی</x:v>
      </x:c>
      <x:c r="G32" s="17" t="str">
        <x:v>در runtime، navigation از `/cart` و `/mechanics/dashboard` لاگ hydration mismatch را نشان داد.</x:v>
      </x:c>
      <x:c r="H32" s="17" t="str">
        <x:v>SSR/CSR divergence می‌تواند state و event handler را از دسترس خارج کند.</x:v>
      </x:c>
      <x:c r="I32" s="17" t="str">
        <x:v>runtime console؛ React hydration mismatch stack</x:v>
      </x:c>
      <x:c r="J32" s="17" t="str">
        <x:v>تمام branchهای وابسته به window، localStorage و زمان را از render SSR حذف یا snapshot کنید.</x:v>
      </x:c>
      <x:c r="K32" s="17" t="str">
        <x:v>باز</x:v>
      </x:c>
      <x:c r="L32" s="28" t="n">
        <x:v>0</x:v>
      </x:c>
      <x:c r="M32" s="17" t="str">
        <x:v>/products در همان session بدون console error رندر شد.</x:v>
      </x:c>
    </x:row>
    <x:row r="33" ht="42" customHeight="1">
      <x:c r="A33" s="29" t="str">
        <x:v>T-032</x:v>
      </x:c>
      <x:c r="B33" s="17" t="str">
        <x:v>داده محصول</x:v>
      </x:c>
      <x:c r="C33" s="17" t="str">
        <x:v>فرانت و بک</x:v>
      </x:c>
      <x:c r="D33" s="17" t="str">
        <x:v>Runtime data</x:v>
      </x:c>
      <x:c r="E33" s="17" t="str">
        <x:v>متوسط</x:v>
      </x:c>
      <x:c r="F33" s="17" t="str">
        <x:v>قطعی</x:v>
      </x:c>
      <x:c r="G33" s="17" t="str">
        <x:v>`/products` در runtime با پیام «خودرویی برای نمایش وجود ندارد» و کارت‌های بدون تصویر باز شد.</x:v>
      </x:c>
      <x:c r="H33" s="17" t="str">
        <x:v>در نبود داده یا خطای API، ارزش صفحه و اعتماد کاربر افت می‌کند.</x:v>
      </x:c>
      <x:c r="I33" s="17" t="str">
        <x:v>runtime `/products`؛ DOM text و کارت‌های بدون تصویر</x:v>
      </x:c>
      <x:c r="J33" s="17" t="str">
        <x:v>حالت empty/error را از unavailable API تفکیک و داده seed/observability محیط را بررسی کنید.</x:v>
      </x:c>
      <x:c r="K33" s="17" t="str">
        <x:v>نیازمند بررسی</x:v>
      </x:c>
      <x:c r="L33" s="28" t="n">
        <x:v>50</x:v>
      </x:c>
      <x:c r="M33" s="17" t="str">
        <x:v>ممکن است ناشی از محیط داده محلی باشد.</x:v>
      </x:c>
    </x:row>
    <x:row r="34" ht="42" customHeight="1">
      <x:c r="A34" s="29" t="str">
        <x:v>T-033</x:v>
      </x:c>
      <x:c r="B34" s="17" t="str">
        <x:v>کنترل دسترسی</x:v>
      </x:c>
      <x:c r="C34" s="17" t="str">
        <x:v>بک‌اند</x:v>
      </x:c>
      <x:c r="D34" s="17" t="str">
        <x:v>Authorization</x:v>
      </x:c>
      <x:c r="E34" s="17" t="str">
        <x:v>بالا</x:v>
      </x:c>
      <x:c r="F34" s="17" t="str">
        <x:v>قطعی</x:v>
      </x:c>
      <x:c r="G34" s="17" t="str">
        <x:v>بسیاری از controllerها ApiTokenScheme دارند اما ترکیب AllowAnonymous در endpointهای متعدد نیازمند ماتریس دسترسی مستند است.</x:v>
      </x:c>
      <x:c r="H34" s="17" t="str">
        <x:v>یک annotation اشتباه می‌تواند داده سفارش/آدرس را عمومی کند.</x:v>
      </x:c>
      <x:c r="I34" s="17" t="str">
        <x:v>Carnix/Carnix/Controllers scan Authorize/AllowAnonymous</x:v>
      </x:c>
      <x:c r="J34" s="17" t="str">
        <x:v>ماتریس public/authenticated/admin بسازید و contract test برای هر endpoint اجرا کنید.</x:v>
      </x:c>
      <x:c r="K34" s="17" t="str">
        <x:v>باز</x:v>
      </x:c>
      <x:c r="L34" s="28" t="n">
        <x:v>0</x:v>
      </x:c>
      <x:c r="M34" s="17" t="str">
        <x:v>وجود AllowAnonymous به‌تنهایی خطا نیست؛ coverage دسترسی ثبت نشده است.</x:v>
      </x:c>
    </x:row>
    <x:row r="35" ht="42" customHeight="1">
      <x:c r="A35" s="29" t="str">
        <x:v>T-034</x:v>
      </x:c>
      <x:c r="B35" s="17" t="str">
        <x:v>ساختار workspace</x:v>
      </x:c>
      <x:c r="C35" s="17" t="str">
        <x:v>بک‌اند</x:v>
      </x:c>
      <x:c r="D35" s="17" t="str">
        <x:v>Repository hygiene</x:v>
      </x:c>
      <x:c r="E35" s="17" t="str">
        <x:v>متوسط</x:v>
      </x:c>
      <x:c r="F35" s="17" t="str">
        <x:v>قطعی</x:v>
      </x:c>
      <x:c r="G35" s="17" t="str">
        <x:v>هزاران پوشه publish/phase*-bin درخت Carnix را آلوده کرده‌اند (حدود ۱۰۲۶۶ directory تولیدی).</x:v>
      </x:c>
      <x:c r="H35" s="17" t="str">
        <x:v>جست‌وجو، backup و deploy کند و احتمال commit artifact زیاد می‌شود.</x:v>
      </x:c>
      <x:c r="I35" s="17" t="str">
        <x:v>Carnix recursive directory scan 2026-09-13</x:v>
      </x:c>
      <x:c r="J35" s="17" t="str">
        <x:v>artifactهای build را بیرون source نگه دارید و .gitignore/cleanup policy اعمال کنید.</x:v>
      </x:c>
      <x:c r="K35" s="17" t="str">
        <x:v>باز</x:v>
      </x:c>
      <x:c r="L35" s="28" t="n">
        <x:v>0</x:v>
      </x:c>
      <x:c r="M35" s="17" t="str">
        <x:v>ممکن است ignored باشند اما هزینه عملیاتی دارند.</x:v>
      </x:c>
    </x:row>
    <x:row r="36" ht="42" customHeight="1">
      <x:c r="A36" s="29" t="str">
        <x:v>T-035</x:v>
      </x:c>
      <x:c r="B36" s="17" t="str">
        <x:v>صفحه تنظیمات</x:v>
      </x:c>
      <x:c r="C36" s="17" t="str">
        <x:v>فرانت و بک</x:v>
      </x:c>
      <x:c r="D36" s="17" t="str">
        <x:v>Admin</x:v>
      </x:c>
      <x:c r="E36" s="17" t="str">
        <x:v>بالا</x:v>
      </x:c>
      <x:c r="F36" s="17" t="str">
        <x:v>نیازمند بررسی</x:v>
      </x:c>
      <x:c r="G36" s="17" t="str">
        <x:v>SiteSettingsController فقط PUT را با RequireAdminRole محدود کرده، اما seed/default و مقدار واقعی production باید با admin UI تطبیق داده شود.</x:v>
      </x:c>
      <x:c r="H36" s="17" t="str">
        <x:v>footer و لینک‌های ارتباطی ممکن است با داده پیش‌فرض نمایش داده شوند.</x:v>
      </x:c>
      <x:c r="I36" s="17" t="str">
        <x:v>Carnix/Carnix/Controllers/SiteSettingsController.cs؛ Footer.tsx</x:v>
      </x:c>
      <x:c r="J36" s="17" t="str">
        <x:v>تست role و update/read round-trip و داده production را ثبت کنید.</x:v>
      </x:c>
      <x:c r="K36" s="17" t="str">
        <x:v>نیازمند تست</x:v>
      </x:c>
      <x:c r="L36" s="28" t="n">
        <x:v>50</x:v>
      </x:c>
      <x:c r="M36" s="17" t="str"/>
    </x:row>
    <x:row r="37" ht="42" customHeight="1">
      <x:c r="A37" s="29" t="str">
        <x:v>T-036</x:v>
      </x:c>
      <x:c r="B37" s="17" t="str">
        <x:v>ساخت production</x:v>
      </x:c>
      <x:c r="C37" s="17" t="str">
        <x:v>فرانت</x:v>
      </x:c>
      <x:c r="D37" s="17" t="str">
        <x:v>Build</x:v>
      </x:c>
      <x:c r="E37" s="17" t="str">
        <x:v>بالا</x:v>
      </x:c>
      <x:c r="F37" s="17" t="str">
        <x:v>نیازمند تست</x:v>
      </x:c>
      <x:c r="G37" s="17" t="str">
        <x:v>typecheck و verify scriptها پاس شدند، اما npm run build کامل در این ممیزی اجرا و نتیجه مستقل ثبت نشد.</x:v>
      </x:c>
      <x:c r="H37" s="17" t="str">
        <x:v>خطای build/SSG ممکن است بعد از تغییرات runtime آشکار شود.</x:v>
      </x:c>
      <x:c r="I37" s="17" t="str">
        <x:v>ui/package.json؛ نبود خروجی build مستقل در evidence</x:v>
      </x:c>
      <x:c r="J37" s="17" t="str">
        <x:v>build را در محیط clean با envهای لازم اجرا و artifact را smoke test کنید.</x:v>
      </x:c>
      <x:c r="K37" s="17" t="str">
        <x:v>نیازمند تست</x:v>
      </x:c>
      <x:c r="L37" s="28" t="n">
        <x:v>50</x:v>
      </x:c>
      <x:c r="M37" s="17" t="str">
        <x:v>این ردیف عمداً ادعای شکست build ندارد.</x:v>
      </x:c>
    </x:row>
    <x:row r="38" ht="42" customHeight="1">
      <x:c r="A38" s="29" t="str">
        <x:v>V-001</x:v>
      </x:c>
      <x:c r="B38" s="17" t="str">
        <x:v>هدر موبایل</x:v>
      </x:c>
      <x:c r="C38" s="17" t="str">
        <x:v>فرانت</x:v>
      </x:c>
      <x:c r="D38" s="17" t="str">
        <x:v>Visual/Responsive</x:v>
      </x:c>
      <x:c r="E38" s="17" t="str">
        <x:v>متوسط</x:v>
      </x:c>
      <x:c r="F38" s="17" t="str">
        <x:v>مشاهده زنده</x:v>
      </x:c>
      <x:c r="G38" s="17" t="str">
        <x:v>در عرض ۳۹۰px header با کنترل‌های touch target حدود ۴۴px و logo متنی CARNIX بخش قابل توجهی از ارتفاع نوار را می‌گیرد.</x:v>
      </x:c>
      <x:c r="H38" s="17" t="str">
        <x:v>فضای محتوا و تمرکز روی search/hero کم می‌شود.</x:v>
      </x:c>
      <x:c r="I38" s="17" t="str">
        <x:v>runtime screenshot خانه در viewport 390x844</x:v>
      </x:c>
      <x:c r="J38" s="17" t="str">
        <x:v>مقیاس icon، badge و logo را با design token مشترک و حداقل touch target قابل دسترس متعادل کنید.</x:v>
      </x:c>
      <x:c r="K38" s="17" t="str">
        <x:v>نیازمند تست</x:v>
      </x:c>
      <x:c r="L38" s="28" t="n">
        <x:v>50</x:v>
      </x:c>
      <x:c r="M38" s="17" t="str">
        <x:v>۴۴px برای دسترسی مفید است؛ تصمیم نهایی باید با design system باشد.</x:v>
      </x:c>
    </x:row>
    <x:row r="39" ht="42" customHeight="1">
      <x:c r="A39" s="29" t="str">
        <x:v>V-002</x:v>
      </x:c>
      <x:c r="B39" s="17" t="str">
        <x:v>اسکرول کارت‌ها</x:v>
      </x:c>
      <x:c r="C39" s="17" t="str">
        <x:v>فرانت</x:v>
      </x:c>
      <x:c r="D39" s="17" t="str">
        <x:v>Visual/Responsive</x:v>
      </x:c>
      <x:c r="E39" s="17" t="str">
        <x:v>بالا</x:v>
      </x:c>
      <x:c r="F39" s="17" t="str">
        <x:v>گزارش کاربر + نیازمند تست</x:v>
      </x:c>
      <x:c r="G39" s="17" t="str">
        <x:v>DOM خانه چند overflow container با scrollWidth بیشتر از clientWidth دارد؛ drag direction و حرکت کامل روی موبایل هنوز با دستگاه واقعی اثبات نشده است.</x:v>
      </x:c>
      <x:c r="H39" s="17" t="str">
        <x:v>کارت‌ها ممکن است تکه‌ای حرکت کنند، برعکس شوند یا برای بخشی از صفحه قفل شوند.</x:v>
      </x:c>
      <x:c r="I39" s="17" t="str">
        <x:v>runtime DOM home در 390px؛ useHorizontalDragScroll.ts</x:v>
      </x:c>
      <x:c r="J39" s="17" t="str">
        <x:v>یک primitive carousel واحد با touch-action/pointer capture، RTL test و keyboard control بسازید و روی iOS/Android تست کنید.</x:v>
      </x:c>
      <x:c r="K39" s="17" t="str">
        <x:v>نیازمند تست</x:v>
      </x:c>
      <x:c r="L39" s="28" t="n">
        <x:v>50</x:v>
      </x:c>
      <x:c r="M39" s="17" t="str">
        <x:v>صفحه در desktop overflow منطقی دارد؛ مشکل اصلی acceptance موبایل است.</x:v>
      </x:c>
    </x:row>
    <x:row r="40" ht="42" customHeight="1">
      <x:c r="A40" s="29" t="str">
        <x:v>V-003</x:v>
      </x:c>
      <x:c r="B40" s="17" t="str">
        <x:v>کارت محصول موبایل</x:v>
      </x:c>
      <x:c r="C40" s="17" t="str">
        <x:v>فرانت</x:v>
      </x:c>
      <x:c r="D40" s="17" t="str">
        <x:v>Visual/Responsive</x:v>
      </x:c>
      <x:c r="E40" s="17" t="str">
        <x:v>متوسط</x:v>
      </x:c>
      <x:c r="F40" s="17" t="str">
        <x:v>گزارش کاربر + مشاهده screenshot</x:v>
      </x:c>
      <x:c r="G40" s="17" t="str">
        <x:v>در screenshotهای ارسالی، کارت‌ها و کنترل quantity در عرض کم به لبه تصویر می‌چسبند یا بخشی از کنترل از کادر خارج می‌شود.</x:v>
      </x:c>
      <x:c r="H40" s="17" t="str">
        <x:v>قیمت، دکمه سبد و quantity خوانا یا قابل لمس نیستند.</x:v>
      </x:c>
      <x:c r="I40" s="17" t="str">
        <x:v>اسکرین‌شات‌های ممیزی کاربر؛ ProductCard.module.scss</x:v>
      </x:c>
      <x:c r="J40" s="17" t="str">
        <x:v>عرض کارت را با gap و padding container محاسبه کنید و کنترل را inline-flex با min-width صفر نگه دارید.</x:v>
      </x:c>
      <x:c r="K40" s="17" t="str">
        <x:v>نیازمند تست</x:v>
      </x:c>
      <x:c r="L40" s="28" t="n">
        <x:v>50</x:v>
      </x:c>
      <x:c r="M40" s="17" t="str">
        <x:v>اصلاحات CSS اخیر نیازمند بازبینی چند عرض 320/360/390 است.</x:v>
      </x:c>
    </x:row>
    <x:row r="41" ht="42" customHeight="1">
      <x:c r="A41" s="29" t="str">
        <x:v>V-004</x:v>
      </x:c>
      <x:c r="B41" s="17" t="str">
        <x:v>سبد خرید موبایل</x:v>
      </x:c>
      <x:c r="C41" s="17" t="str">
        <x:v>فرانت</x:v>
      </x:c>
      <x:c r="D41" s="17" t="str">
        <x:v>Visual/Responsive</x:v>
      </x:c>
      <x:c r="E41" s="17" t="str">
        <x:v>بالا</x:v>
      </x:c>
      <x:c r="F41" s="17" t="str">
        <x:v>مشاهده screenshot</x:v>
      </x:c>
      <x:c r="G41" s="17" t="str">
        <x:v>در screenshotهای ارسالی، drawer/cart در موبایل از سمت تصویر به محتوا می‌چسبد و دکمه‌های کم/زیاد/سطل زباله بزرگ یا فشرده‌اند.</x:v>
      </x:c>
      <x:c r="H41" s="17" t="str">
        <x:v>کاربر کنترل quantity و حذف را سخت هدف می‌گیرد و متن محصول فشرده می‌شود.</x:v>
      </x:c>
      <x:c r="I41" s="17" t="str">
        <x:v>CartDropdown.module.scss؛ screenshotهای cart موبایل</x:v>
      </x:c>
      <x:c r="J41" s="17" t="str">
        <x:v>drawer را با max-width:100vw، padding ثابت و control cluster responsive تست کنید.</x:v>
      </x:c>
      <x:c r="K41" s="17" t="str">
        <x:v>نیازمند تست</x:v>
      </x:c>
      <x:c r="L41" s="28" t="n">
        <x:v>50</x:v>
      </x:c>
      <x:c r="M41" s="17" t="str">
        <x:v>touch target نباید از حد دسترسی پایین‌تر بیاید.</x:v>
      </x:c>
    </x:row>
    <x:row r="42" ht="42" customHeight="1">
      <x:c r="A42" s="29" t="str">
        <x:v>V-005</x:v>
      </x:c>
      <x:c r="B42" s="17" t="str">
        <x:v>تب محصولات</x:v>
      </x:c>
      <x:c r="C42" s="17" t="str">
        <x:v>فرانت</x:v>
      </x:c>
      <x:c r="D42" s="17" t="str">
        <x:v>Visual/Responsive</x:v>
      </x:c>
      <x:c r="E42" s="17" t="str">
        <x:v>متوسط</x:v>
      </x:c>
      <x:c r="F42" s="17" t="str">
        <x:v>گزارش کاربر</x:v>
      </x:c>
      <x:c r="G42" s="17" t="str">
        <x:v>در screenshotها عنوان و تب‌های «محصولات ویژه/تخفیف‌دار» در موبایل بزرگ و گاهی هم‌پوشان دیده می‌شوند.</x:v>
      </x:c>
      <x:c r="H42" s="17" t="str">
        <x:v>hierarchy و انتخاب تب در صفحه باریک واضح نیست.</x:v>
      </x:c>
      <x:c r="I42" s="17" t="str">
        <x:v>FeaturedProductsSection.module.scss؛ screenshotهای home</x:v>
      </x:c>
      <x:c r="J42" s="17" t="str">
        <x:v>font/line-height تب‌ها و فاصله header را با container width تطبیق دهید.</x:v>
      </x:c>
      <x:c r="K42" s="17" t="str">
        <x:v>نیازمند تست</x:v>
      </x:c>
      <x:c r="L42" s="28" t="n">
        <x:v>50</x:v>
      </x:c>
      <x:c r="M42" s="17" t="str"/>
    </x:row>
    <x:row r="43" ht="42" customHeight="1">
      <x:c r="A43" s="29" t="str">
        <x:v>V-006</x:v>
      </x:c>
      <x:c r="B43" s="17" t="str">
        <x:v>فوتر موبایل</x:v>
      </x:c>
      <x:c r="C43" s="17" t="str">
        <x:v>فرانت</x:v>
      </x:c>
      <x:c r="D43" s="17" t="str">
        <x:v>Visual/Responsive</x:v>
      </x:c>
      <x:c r="E43" s="17" t="str">
        <x:v>متوسط</x:v>
      </x:c>
      <x:c r="F43" s="17" t="str">
        <x:v>گزارش کاربر</x:v>
      </x:c>
      <x:c r="G43" s="17" t="str">
        <x:v>تبدیل فوتر به سه ستون در گوشی‌های کوچک می‌تواند لینک‌ها را فشرده و ارتفاع را زیاد کند.</x:v>
      </x:c>
      <x:c r="H43" s="17" t="str">
        <x:v>اسکن و کلیک لینک‌های فوتر سخت می‌شود.</x:v>
      </x:c>
      <x:c r="I43" s="17" t="str">
        <x:v>Footer.module.scss؛ screenshot footer موبایل</x:v>
      </x:c>
      <x:c r="J43" s="17" t="str">
        <x:v>در 320/360/390px با grid سه‌ستونه و breakpoint fallback تست usability انجام دهید.</x:v>
      </x:c>
      <x:c r="K43" s="17" t="str">
        <x:v>نیازمند تست</x:v>
      </x:c>
      <x:c r="L43" s="28" t="n">
        <x:v>50</x:v>
      </x:c>
      <x:c r="M43" s="17" t="str"/>
    </x:row>
    <x:row r="44" ht="42" customHeight="1">
      <x:c r="A44" s="29" t="str">
        <x:v>V-007</x:v>
      </x:c>
      <x:c r="B44" s="17" t="str">
        <x:v>یکپارچگی dropdown</x:v>
      </x:c>
      <x:c r="C44" s="17" t="str">
        <x:v>فرانت</x:v>
      </x:c>
      <x:c r="D44" s="17" t="str">
        <x:v>Visual/UX</x:v>
      </x:c>
      <x:c r="E44" s="17" t="str">
        <x:v>متوسط</x:v>
      </x:c>
      <x:c r="F44" s="17" t="str">
        <x:v>گزارش کاربر + static</x:v>
      </x:c>
      <x:c r="G44" s="17" t="str">
        <x:v>native selectها کنار AppSelect/VehicleSelect باقی مانده‌اند و spacing/scrollbar یکسان نیست.</x:v>
      </x:c>
      <x:c r="H44" s="17" t="str">
        <x:v>کاربر در فرم‌ها رفتار و ظاهر متفاوت می‌بیند.</x:v>
      </x:c>
      <x:c r="I44" s="17" t="str">
        <x:v>۹ `&lt;select&gt;` در ui/src؛ AppSelect.module.scss</x:v>
      </x:c>
      <x:c r="J44" s="17" t="str">
        <x:v>تمام dropdownها را به primitive واحد منتقل و focus/error/RTL را تست کنید.</x:v>
      </x:c>
      <x:c r="K44" s="17" t="str">
        <x:v>باز</x:v>
      </x:c>
      <x:c r="L44" s="28" t="n">
        <x:v>0</x:v>
      </x:c>
      <x:c r="M44" s="17" t="str"/>
    </x:row>
    <x:row r="45" ht="42" customHeight="1">
      <x:c r="A45" s="29" t="str">
        <x:v>V-008</x:v>
      </x:c>
      <x:c r="B45" s="17" t="str">
        <x:v>مدال‌ها</x:v>
      </x:c>
      <x:c r="C45" s="17" t="str">
        <x:v>فرانت</x:v>
      </x:c>
      <x:c r="D45" s="17" t="str">
        <x:v>Visual/Accessibility</x:v>
      </x:c>
      <x:c r="E45" s="17" t="str">
        <x:v>متوسط</x:v>
      </x:c>
      <x:c r="F45" s="17" t="str">
        <x:v>گزارش کاربر</x:v>
      </x:c>
      <x:c r="G45" s="17" t="str">
        <x:v>کاربر گزارش کرده مدال‌ها scrollbar نمایان دارند و مدال گاراژ از نظر ابعاد/فاصله یکسان نیست.</x:v>
      </x:c>
      <x:c r="H45" s="17" t="str">
        <x:v>بخشی از فرم یا دکمه در viewport کوچک پنهان می‌شود.</x:v>
      </x:c>
      <x:c r="I45" s="17" t="str">
        <x:v>AddressModal.module.scss؛ ProductOverViewModal.module.scss؛ GaragePage.module.scss</x:v>
      </x:c>
      <x:c r="J45" s="17" t="str">
        <x:v>overflow داخلی را کنترل و max-height، focus trap و responsive width را در همه modalها یکسان کنید.</x:v>
      </x:c>
      <x:c r="K45" s="17" t="str">
        <x:v>نیازمند تست</x:v>
      </x:c>
      <x:c r="L45" s="28" t="n">
        <x:v>50</x:v>
      </x:c>
      <x:c r="M45" s="17" t="str"/>
    </x:row>
    <x:row r="46" ht="42" customHeight="1">
      <x:c r="A46" s="29" t="str">
        <x:v>V-009</x:v>
      </x:c>
      <x:c r="B46" s="17" t="str">
        <x:v>پنل مکانیک</x:v>
      </x:c>
      <x:c r="C46" s="17" t="str">
        <x:v>فرانت و بک</x:v>
      </x:c>
      <x:c r="D46" s="17" t="str">
        <x:v>Visual/Runtime</x:v>
      </x:c>
      <x:c r="E46" s="17" t="str">
        <x:v>بالا</x:v>
      </x:c>
      <x:c r="F46" s="17" t="str">
        <x:v>مشاهده زنده</x:v>
      </x:c>
      <x:c r="G46" s="17" t="str">
        <x:v>در حالت مهمان `/mechanics/dashboard` بعد از loading به `/login?callbackUrl=...` هدایت می‌شود؛ صفحه پنل بدون session قابل مشاهده نیست.</x:v>
      </x:c>
      <x:c r="H46" s="17" t="str">
        <x:v>اگر session معتبر هم همین رفتار را داشته باشد، پنل برای مکانیک‌ها عملاً unavailable است.</x:v>
      </x:c>
      <x:c r="I46" s="17" t="str">
        <x:v>runtime `/mechanics/dashboard`؛ P4PlatformController و page route</x:v>
      </x:c>
      <x:c r="J46" s="17" t="str">
        <x:v>با role مکانیک و داده واقعی تست کن، loading/error/empty را از redirect تفکیک کن.</x:v>
      </x:c>
      <x:c r="K46" s="17" t="str">
        <x:v>نیازمند تست</x:v>
      </x:c>
      <x:c r="L46" s="28" t="n">
        <x:v>50</x:v>
      </x:c>
      <x:c r="M46" s="17" t="str">
        <x:v>برای مهمان redirect مورد انتظار است.</x:v>
      </x:c>
    </x:row>
    <x:row r="47" ht="42" customHeight="1">
      <x:c r="A47" s="29" t="str">
        <x:v>V-010</x:v>
      </x:c>
      <x:c r="B47" s="17" t="str">
        <x:v>تصاویر بدون داده</x:v>
      </x:c>
      <x:c r="C47" s="17" t="str">
        <x:v>فرانت</x:v>
      </x:c>
      <x:c r="D47" s="17" t="str">
        <x:v>Visual/Content</x:v>
      </x:c>
      <x:c r="E47" s="17" t="str">
        <x:v>متوسط</x:v>
      </x:c>
      <x:c r="F47" s="17" t="str">
        <x:v>مشاهده زنده</x:v>
      </x:c>
      <x:c r="G47" s="17" t="str">
        <x:v>در `/products` کارت‌های «بدون تصویر» دیده شد و داده محصول نمایش داده نشد.</x:v>
      </x:c>
      <x:c r="H47" s="17" t="str">
        <x:v>صفحه فروشگاه کم‌اعتماد و از نظر بصری خالی است.</x:v>
      </x:c>
      <x:c r="I47" s="17" t="str">
        <x:v>runtime `/products`؛ ProductCard و getMediaUrl</x:v>
      </x:c>
      <x:c r="J47" s="17" t="str">
        <x:v>fallback تصویر، seed داده و خطای media API را جداگانه نمایش دهید.</x:v>
      </x:c>
      <x:c r="K47" s="17" t="str">
        <x:v>نیازمند بررسی</x:v>
      </x:c>
      <x:c r="L47" s="28" t="n">
        <x:v>50</x:v>
      </x:c>
      <x:c r="M47" s="17" t="str">
        <x:v>وابسته به داده/آپلود محیط جاری.</x:v>
      </x:c>
    </x:row>
    <x:row r="48" ht="42" customHeight="1">
      <x:c r="A48" s="29" t="str">
        <x:v>V-011</x:v>
      </x:c>
      <x:c r="B48" s="17" t="str">
        <x:v>محتوای متنی کارت</x:v>
      </x:c>
      <x:c r="C48" s="17" t="str">
        <x:v>فرانت</x:v>
      </x:c>
      <x:c r="D48" s="17" t="str">
        <x:v>Visual/Content</x:v>
      </x:c>
      <x:c r="E48" s="17" t="str">
        <x:v>کم</x:v>
      </x:c>
      <x:c r="F48" s="17" t="str">
        <x:v>مشاهده screenshot</x:v>
      </x:c>
      <x:c r="G48" s="17" t="str">
        <x:v>عنوان‌های طولانی فارسی در کارت‌ها به دو یا چند خط می‌شکنند و با قیمت/کنترل نزدیک می‌شوند.</x:v>
      </x:c>
      <x:c r="H48" s="17" t="str">
        <x:v>خوانایی و مقایسه سریع محصولات کم می‌شود.</x:v>
      </x:c>
      <x:c r="I48" s="17" t="str">
        <x:v>ProductCard.module.scss؛ screenshotهای home</x:v>
      </x:c>
      <x:c r="J48" s="17" t="str">
        <x:v>line-clamp، min-height عنوان و فاصله ثابت bottom row تعریف کنید.</x:v>
      </x:c>
      <x:c r="K48" s="17" t="str">
        <x:v>نیازمند تست</x:v>
      </x:c>
      <x:c r="L48" s="28" t="n">
        <x:v>50</x:v>
      </x:c>
      <x:c r="M48" s="17" t="str"/>
    </x:row>
    <x:row r="49" ht="42" customHeight="1">
      <x:c r="A49" s="29" t="str">
        <x:v>V-012</x:v>
      </x:c>
      <x:c r="B49" s="17" t="str">
        <x:v>دسترسی icon button</x:v>
      </x:c>
      <x:c r="C49" s="17" t="str">
        <x:v>فرانت</x:v>
      </x:c>
      <x:c r="D49" s="17" t="str">
        <x:v>Accessibility</x:v>
      </x:c>
      <x:c r="E49" s="17" t="str">
        <x:v>متوسط</x:v>
      </x:c>
      <x:c r="F49" s="17" t="str">
        <x:v>نیازمند تست</x:v>
      </x:c>
      <x:c r="G49" s="17" t="str">
        <x:v>در DOM تعداد زیادی button آیکونی وجود دارد؛ پوشش aria-label/title در همه مسیرها اثبات نشده است.</x:v>
      </x:c>
      <x:c r="H49" s="17" t="str">
        <x:v>screen reader نام کنترل را نمی‌خواند و تست keyboard ضعیف می‌شود.</x:v>
      </x:c>
      <x:c r="I49" s="17" t="str">
        <x:v>scan aria-label/title؛ HeaderAction و ProductCard</x:v>
      </x:c>
      <x:c r="J49" s="17" t="str">
        <x:v>برای هر icon-only button نام accessible، focus ring و keyboard test اجباری کنید.</x:v>
      </x:c>
      <x:c r="K49" s="17" t="str">
        <x:v>باز</x:v>
      </x:c>
      <x:c r="L49" s="28" t="n">
        <x:v>0</x:v>
      </x:c>
      <x:c r="M49" s="17" t="str">
        <x:v>وجود aria در بخشی از کد ثبت شده اما coverage کامل نیست.</x:v>
      </x:c>
    </x:row>
  </x:sheetData>
  <x:conditionalFormatting sqref="E2:E49">
    <x:cfRule type="containsText" dxfId="0" priority="1" operator="containsText" text="بحرانی"/>
    <x:cfRule type="containsText" dxfId="1" priority="2" operator="containsText" text="بالا"/>
  </x:conditionalFormatting>
  <x:conditionalFormatting sqref="K2:K49">
    <x:cfRule type="containsText" dxfId="2" priority="3" operator="containsText" text="باز"/>
    <x:cfRule type="containsText" dxfId="3" priority="4" operator="containsText" text="نیازمند تست"/>
  </x:conditionalFormatting>
  <x:pageMargins left="0.7" right="0.7" top="0.75" bottom="0.75" header="0.3" footer="0.3"/>
  <x:tableParts count="1">
    <x:tablePart xmlns:r="http://schemas.openxmlformats.org/officeDocument/2006/relationships" r:id="R48c93f31eb4d439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22" hidden="0" customWidth="1"/>
    <x:col min="3" max="3" width="16" hidden="0" customWidth="1"/>
    <x:col min="4" max="4" width="34" hidden="0" customWidth="1"/>
    <x:col min="5" max="5" width="12" hidden="0" customWidth="1"/>
    <x:col min="6" max="6" width="52" hidden="0" customWidth="1"/>
    <x:col min="7" max="7" width="16" hidden="0" customWidth="1"/>
  </x:cols>
  <x:sheetData>
    <x:row r="1" ht="32" customHeight="1">
      <x:c r="A1" s="14" t="str">
        <x:v>شناسه</x:v>
      </x:c>
      <x:c r="B1" s="14" t="str">
        <x:v>کنترل</x:v>
      </x:c>
      <x:c r="C1" s="14" t="str">
        <x:v>لایه</x:v>
      </x:c>
      <x:c r="D1" s="14" t="str">
        <x:v>دستور/روش</x:v>
      </x:c>
      <x:c r="E1" s="14" t="str">
        <x:v>وضعیت</x:v>
      </x:c>
      <x:c r="F1" s="14" t="str">
        <x:v>نتیجه</x:v>
      </x:c>
      <x:c r="G1" s="14" t="str">
        <x:v>تاریخ</x:v>
      </x:c>
    </x:row>
    <x:row r="2" ht="32" customHeight="1">
      <x:c r="A2" s="17" t="str">
        <x:v>C-001</x:v>
      </x:c>
      <x:c r="B2" s="17" t="str">
        <x:v>TypeScript</x:v>
      </x:c>
      <x:c r="C2" s="17" t="str">
        <x:v>فرانت</x:v>
      </x:c>
      <x:c r="D2" s="17" t="str">
        <x:v>npx tsc --noEmit</x:v>
      </x:c>
      <x:c r="E2" s="32" t="str">
        <x:v>PASS</x:v>
      </x:c>
      <x:c r="F2" s="17" t="str">
        <x:v>کد بدون خطای TypeScript در وضعیت جاری کامپایل شد.</x:v>
      </x:c>
      <x:c r="G2" s="17" t="str">
        <x:v>2026-09-13</x:v>
      </x:c>
    </x:row>
    <x:row r="3" ht="32" customHeight="1">
      <x:c r="A3" s="17" t="str">
        <x:v>C-002</x:v>
      </x:c>
      <x:c r="B3" s="17" t="str">
        <x:v>کنترل‌های بحرانی</x:v>
      </x:c>
      <x:c r="C3" s="17" t="str">
        <x:v>فرانت</x:v>
      </x:c>
      <x:c r="D3" s="17" t="str">
        <x:v>npm run check:critical</x:v>
      </x:c>
      <x:c r="E3" s="32" t="str">
        <x:v>PASS</x:v>
      </x:c>
      <x:c r="F3" s="17" t="str">
        <x:v>چک‌های UI-001 تا UI-003 موفق شدند.</x:v>
      </x:c>
      <x:c r="G3" s="17" t="str">
        <x:v>2026-09-13</x:v>
      </x:c>
    </x:row>
    <x:row r="4" ht="32" customHeight="1">
      <x:c r="A4" s="17" t="str">
        <x:v>C-003</x:v>
      </x:c>
      <x:c r="B4" s="17" t="str">
        <x:v>معماری P0</x:v>
      </x:c>
      <x:c r="C4" s="17" t="str">
        <x:v>فرانت</x:v>
      </x:c>
      <x:c r="D4" s="17" t="str">
        <x:v>npm run check:p0</x:v>
      </x:c>
      <x:c r="E4" s="32" t="str">
        <x:v>PASS</x:v>
      </x:c>
      <x:c r="F4" s="17" t="str">
        <x:v>کنترل‌های proxy و auth architecture موفق شدند.</x:v>
      </x:c>
      <x:c r="G4" s="17" t="str">
        <x:v>2026-09-13</x:v>
      </x:c>
    </x:row>
    <x:row r="5" ht="32" customHeight="1">
      <x:c r="A5" s="17" t="str">
        <x:v>C-004</x:v>
      </x:c>
      <x:c r="B5" s="17" t="str">
        <x:v>Checkout P1</x:v>
      </x:c>
      <x:c r="C5" s="17" t="str">
        <x:v>فرانت</x:v>
      </x:c>
      <x:c r="D5" s="17" t="str">
        <x:v>npm run check:p1</x:v>
      </x:c>
      <x:c r="E5" s="32" t="str">
        <x:v>PASS</x:v>
      </x:c>
      <x:c r="F5" s="17" t="str">
        <x:v>کنترل quote و متن checkout موفق شد.</x:v>
      </x:c>
      <x:c r="G5" s="17" t="str">
        <x:v>2026-09-13</x:v>
      </x:c>
    </x:row>
    <x:row r="6" ht="32" customHeight="1">
      <x:c r="A6" s="17" t="str">
        <x:v>C-005</x:v>
      </x:c>
      <x:c r="B6" s="17" t="str">
        <x:v>P2/P3/P4</x:v>
      </x:c>
      <x:c r="C6" s="17" t="str">
        <x:v>فرانت</x:v>
      </x:c>
      <x:c r="D6" s="17" t="str">
        <x:v>npm run check:p2 / p3 / p4</x:v>
      </x:c>
      <x:c r="E6" s="32" t="str">
        <x:v>PASS</x:v>
      </x:c>
      <x:c r="F6" s="17" t="str">
        <x:v>اسکریپت‌های static مرتبط با کیفیت، API و P4 موفق شدند.</x:v>
      </x:c>
      <x:c r="G6" s="17" t="str">
        <x:v>2026-09-13</x:v>
      </x:c>
    </x:row>
    <x:row r="7" ht="32" customHeight="1">
      <x:c r="A7" s="17" t="str">
        <x:v>C-006</x:v>
      </x:c>
      <x:c r="B7" s="17" t="str">
        <x:v>Runtime home</x:v>
      </x:c>
      <x:c r="C7" s="17" t="str">
        <x:v>فرانت</x:v>
      </x:c>
      <x:c r="D7" s="17" t="str">
        <x:v>localhost:3000 + viewport 390x844</x:v>
      </x:c>
      <x:c r="E7" s="32" t="str">
        <x:v>PASS</x:v>
      </x:c>
      <x:c r="F7" s="17" t="str">
        <x:v>خانه در موبایل رندر شد، body horizontal overflow نداشت و navigation اصلی حاضر بود.</x:v>
      </x:c>
      <x:c r="G7" s="17" t="str">
        <x:v>2026-09-13</x:v>
      </x:c>
    </x:row>
    <x:row r="8" ht="32" customHeight="1">
      <x:c r="A8" s="17" t="str">
        <x:v>C-007</x:v>
      </x:c>
      <x:c r="B8" s="17" t="str">
        <x:v>Runtime products</x:v>
      </x:c>
      <x:c r="C8" s="17" t="str">
        <x:v>فرانت</x:v>
      </x:c>
      <x:c r="D8" s="17" t="str">
        <x:v>localhost:3000/products</x:v>
      </x:c>
      <x:c r="E8" s="32" t="str">
        <x:v>PASS</x:v>
      </x:c>
      <x:c r="F8" s="17" t="str">
        <x:v>صفحه products بدون خطای console در مشاهده جاری باز شد؛ داده محلی خالی بود.</x:v>
      </x:c>
      <x:c r="G8" s="17" t="str">
        <x:v>2026-09-13</x:v>
      </x:c>
    </x:row>
    <x:row r="9" ht="32" customHeight="1">
      <x:c r="A9" s="17" t="str">
        <x:v>C-008</x:v>
      </x:c>
      <x:c r="B9" s="17" t="str">
        <x:v>Runtime auth guard</x:v>
      </x:c>
      <x:c r="C9" s="17" t="str">
        <x:v>فرانت و بک</x:v>
      </x:c>
      <x:c r="D9" s="17" t="str">
        <x:v>localhost:3000/mechanics/dashboard</x:v>
      </x:c>
      <x:c r="E9" s="32" t="str">
        <x:v>PASS</x:v>
      </x:c>
      <x:c r="F9" s="17" t="str">
        <x:v>مهمان به login با callbackUrl هدایت شد.</x:v>
      </x:c>
      <x:c r="G9" s="17" t="str">
        <x:v>2026-09-13</x:v>
      </x:c>
    </x:row>
    <x:row r="10" ht="32" customHeight="1">
      <x:c r="A10" s="17" t="str">
        <x:v>C-009</x:v>
      </x:c>
      <x:c r="B10" s="17" t="str">
        <x:v>Security headers</x:v>
      </x:c>
      <x:c r="C10" s="17" t="str">
        <x:v>فرانت</x:v>
      </x:c>
      <x:c r="D10" s="17" t="str">
        <x:v>ui/next.config.ts</x:v>
      </x:c>
      <x:c r="E10" s="32" t="str">
        <x:v>PASS</x:v>
      </x:c>
      <x:c r="F10" s="17" t="str">
        <x:v>nosniff، frame deny، referrer policy، permissions policy و HSTS production تعریف شده‌اند.</x:v>
      </x:c>
      <x:c r="G10" s="17" t="str">
        <x:v>2026-09-13</x:v>
      </x:c>
    </x:row>
    <x:row r="11" ht="32" customHeight="1">
      <x:c r="A11" s="17" t="str">
        <x:v>C-010</x:v>
      </x:c>
      <x:c r="B11" s="17" t="str">
        <x:v>Refresh route</x:v>
      </x:c>
      <x:c r="C11" s="17" t="str">
        <x:v>فرانت و بک</x:v>
      </x:c>
      <x:c r="D11" s="17" t="str">
        <x:v>ui/src/app/api/auth/refresh + Carnix Auth</x:v>
      </x:c>
      <x:c r="E11" s="32" t="str">
        <x:v>PASS</x:v>
      </x:c>
      <x:c r="F11" s="17" t="str">
        <x:v>مسیر refresh و rotation/revoke در کد موجود و check بحرانی موفق است.</x:v>
      </x:c>
      <x:c r="G11" s="17" t="str">
        <x:v>2026-09-13</x:v>
      </x:c>
    </x:row>
  </x:sheetData>
  <x:pageMargins left="0.7" right="0.7" top="0.75" bottom="0.75" header="0.3" footer="0.3"/>
  <x:tableParts count="1">
    <x:tablePart xmlns:r="http://schemas.openxmlformats.org/officeDocument/2006/relationships" r:id="Rdb7f4939e5d840c1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2" hidden="0" customWidth="1"/>
    <x:col min="3" max="3" width="20" hidden="0" customWidth="1"/>
    <x:col min="4" max="4" width="70" hidden="0" customWidth="1"/>
  </x:cols>
  <x:sheetData>
    <x:row r="1" ht="32" customHeight="1">
      <x:c r="A1" s="14" t="str">
        <x:v>مسیر</x:v>
      </x:c>
      <x:c r="B1" s="14" t="str">
        <x:v>صفحه</x:v>
      </x:c>
      <x:c r="C1" s="14" t="str">
        <x:v>وضعیت مشاهده</x:v>
      </x:c>
      <x:c r="D1" s="14" t="str">
        <x:v>یادداشت</x:v>
      </x:c>
    </x:row>
    <x:row r="2" ht="32" customHeight="1">
      <x:c r="A2" s="17" t="str">
        <x:v>/</x:v>
      </x:c>
      <x:c r="B2" s="17" t="str">
        <x:v>خانه</x:v>
      </x:c>
      <x:c r="C2" s="17" t="str">
        <x:v>رندر شد</x:v>
      </x:c>
      <x:c r="D2" s="17" t="str">
        <x:v>بدون console error در مشاهده جاری؛ اسکرول افقی داخلی دارد.</x:v>
      </x:c>
    </x:row>
    <x:row r="3" ht="32" customHeight="1">
      <x:c r="A3" s="17" t="str">
        <x:v>/products</x:v>
      </x:c>
      <x:c r="B3" s="17" t="str">
        <x:v>محصولات</x:v>
      </x:c>
      <x:c r="C3" s="17" t="str">
        <x:v>رندر شد</x:v>
      </x:c>
      <x:c r="D3" s="17" t="str">
        <x:v>بدون console error؛ داده محلی خالی/بدون تصویر مشاهده شد.</x:v>
      </x:c>
    </x:row>
    <x:row r="4" ht="32" customHeight="1">
      <x:c r="A4" s="17" t="str">
        <x:v>/cart</x:v>
      </x:c>
      <x:c r="B4" s="17" t="str">
        <x:v>سبد خرید</x:v>
      </x:c>
      <x:c r="C4" s="17" t="str">
        <x:v>هشدار</x:v>
      </x:c>
      <x:c r="D4" s="17" t="str">
        <x:v>hydration mismatch در console مشاهده شد.</x:v>
      </x:c>
    </x:row>
    <x:row r="5" ht="32" customHeight="1">
      <x:c r="A5" s="17" t="str">
        <x:v>/mechanics/dashboard</x:v>
      </x:c>
      <x:c r="B5" s="17" t="str">
        <x:v>پنل مکانیک</x:v>
      </x:c>
      <x:c r="C5" s="17" t="str">
        <x:v>redirect مهمان</x:v>
      </x:c>
      <x:c r="D5" s="17" t="str">
        <x:v>به login هدایت شد؛ role مکانیک تست نشده.</x:v>
      </x:c>
    </x:row>
    <x:row r="6" ht="32" customHeight="1">
      <x:c r="A6" s="17" t="str">
        <x:v>/product/[slug]</x:v>
      </x:c>
      <x:c r="B6" s="17" t="str">
        <x:v>جزئیات محصول</x:v>
      </x:c>
      <x:c r="C6" s="17" t="str">
        <x:v>کد مسیر موجود</x:v>
      </x:c>
      <x:c r="D6" s="17" t="str">
        <x:v>تست با slug و داده API در این ممیزی انجام نشد.</x:v>
      </x:c>
    </x:row>
    <x:row r="7" ht="32" customHeight="1">
      <x:c r="A7" s="17" t="str">
        <x:v>/payment/callback</x:v>
      </x:c>
      <x:c r="B7" s="17" t="str">
        <x:v>callback پرداخت</x:v>
      </x:c>
      <x:c r="C7" s="17" t="str">
        <x:v>کد مسیر موجود</x:v>
      </x:c>
      <x:c r="D7" s="17" t="str">
        <x:v>تست sandbox gateway انجام نشد.</x:v>
      </x:c>
    </x:row>
    <x:row r="8" ht="32" customHeight="1">
      <x:c r="A8" s="17" t="str">
        <x:v>/profile/orders/[id]</x:v>
      </x:c>
      <x:c r="B8" s="17" t="str">
        <x:v>جزئیات سفارش</x:v>
      </x:c>
      <x:c r="C8" s="17" t="str">
        <x:v>کد مسیر موجود</x:v>
      </x:c>
      <x:c r="D8" s="17" t="str">
        <x:v>تست session/order واقعی انجام نشد.</x:v>
      </x:c>
    </x:row>
    <x:row r="9" ht="32" customHeight="1">
      <x:c r="A9" s="17" t="str">
        <x:v>/diagnose</x:v>
      </x:c>
      <x:c r="B9" s="17" t="str">
        <x:v>تشخیص</x:v>
      </x:c>
      <x:c r="C9" s="17" t="str">
        <x:v>کد مسیر موجود</x:v>
      </x:c>
      <x:c r="D9" s="17" t="str">
        <x:v>تست API rule/garage انجام نشد.</x:v>
      </x:c>
    </x:row>
    <x:row r="10" ht="32" customHeight="1">
      <x:c r="A10" s="17" t="str">
        <x:v>/bulk-purchase</x:v>
      </x:c>
      <x:c r="B10" s="17" t="str">
        <x:v>خرید عمده</x:v>
      </x:c>
      <x:c r="C10" s="17" t="str">
        <x:v>کد مسیر موجود</x:v>
      </x:c>
      <x:c r="D10" s="17" t="str">
        <x:v>submit API در checkهای قبلی دیده شده؛ پذیرش runtime انجام نشد.</x:v>
      </x:c>
    </x:row>
    <x:row r="11" ht="32" customHeight="1">
      <x:c r="A11" s="17" t="str">
        <x:v>/blog/[slug]</x:v>
      </x:c>
      <x:c r="B11" s="17" t="str">
        <x:v>مقاله</x:v>
      </x:c>
      <x:c r="C11" s="17" t="str">
        <x:v>کد مسیر موجود</x:v>
      </x:c>
      <x:c r="D11" s="17" t="str">
        <x:v>داده و SSG واقعی این ممیزی اجرا نشد.</x:v>
      </x:c>
    </x:row>
  </x:sheetData>
  <x:pageMargins left="0.7" right="0.7" top="0.75" bottom="0.75" header="0.3" footer="0.3"/>
  <x:tableParts count="1">
    <x:tablePart xmlns:r="http://schemas.openxmlformats.org/officeDocument/2006/relationships" r:id="Rf3f3d3a1f1c44b97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24" hidden="0" customWidth="1"/>
    <x:col min="3" max="3" width="24" hidden="0" customWidth="1"/>
    <x:col min="4" max="4" width="40" hidden="0" customWidth="1"/>
    <x:col min="5" max="5" width="60" hidden="0" customWidth="1"/>
    <x:col min="6" max="6" width="16" hidden="0" customWidth="1"/>
  </x:cols>
  <x:sheetData>
    <x:row r="1" ht="34" customHeight="1">
      <x:c r="A1" s="14" t="str">
        <x:v>شناسه</x:v>
      </x:c>
      <x:c r="B1" s="14" t="str">
        <x:v>دامنه</x:v>
      </x:c>
      <x:c r="C1" s="14" t="str">
        <x:v>هدف</x:v>
      </x:c>
      <x:c r="D1" s="14" t="str">
        <x:v>دستور/منبع</x:v>
      </x:c>
      <x:c r="E1" s="14" t="str">
        <x:v>نتیجه</x:v>
      </x:c>
      <x:c r="F1" s="14" t="str">
        <x:v>تاریخ</x:v>
      </x:c>
    </x:row>
    <x:row r="2" ht="34" customHeight="1">
      <x:c r="A2" s="17" t="str">
        <x:v>E-001</x:v>
      </x:c>
      <x:c r="B2" s="17" t="str">
        <x:v>Frontend static</x:v>
      </x:c>
      <x:c r="C2" s="17" t="str">
        <x:v>ui</x:v>
      </x:c>
      <x:c r="D2" s="17" t="str">
        <x:v>npx tsc --noEmit</x:v>
      </x:c>
      <x:c r="E2" s="17" t="str">
        <x:v>PASS</x:v>
      </x:c>
      <x:c r="F2" s="17" t="str">
        <x:v>2026-09-13</x:v>
      </x:c>
    </x:row>
    <x:row r="3" ht="34" customHeight="1">
      <x:c r="A3" s="17" t="str">
        <x:v>E-002</x:v>
      </x:c>
      <x:c r="B3" s="17" t="str">
        <x:v>Frontend lint</x:v>
      </x:c>
      <x:c r="C3" s="17" t="str">
        <x:v>ui</x:v>
      </x:c>
      <x:c r="D3" s="17" t="str">
        <x:v>npx eslint . -f json</x:v>
      </x:c>
      <x:c r="E3" s="17" t="str">
        <x:v>0 errors / 137 warnings</x:v>
      </x:c>
      <x:c r="F3" s="17" t="str">
        <x:v>2026-09-13</x:v>
      </x:c>
    </x:row>
    <x:row r="4" ht="34" customHeight="1">
      <x:c r="A4" s="17" t="str">
        <x:v>E-003</x:v>
      </x:c>
      <x:c r="B4" s="17" t="str">
        <x:v>Critical/P0-P4 scripts</x:v>
      </x:c>
      <x:c r="C4" s="17" t="str">
        <x:v>ui</x:v>
      </x:c>
      <x:c r="D4" s="17" t="str">
        <x:v>npm run check:p0, check:critical, check:p1, check:p2, check:p3, check:p4</x:v>
      </x:c>
      <x:c r="E4" s="17" t="str">
        <x:v>همه PASS</x:v>
      </x:c>
      <x:c r="F4" s="17" t="str">
        <x:v>2026-09-13</x:v>
      </x:c>
    </x:row>
    <x:row r="5" ht="34" customHeight="1">
      <x:c r="A5" s="17" t="str">
        <x:v>E-004</x:v>
      </x:c>
      <x:c r="B5" s="17" t="str">
        <x:v>Backend build</x:v>
      </x:c>
      <x:c r="C5" s="17" t="str">
        <x:v>Carnix</x:v>
      </x:c>
      <x:c r="D5" s="17" t="str">
        <x:v>dotnet build Carnix/Carnix.csproj --no-restore</x:v>
      </x:c>
      <x:c r="E5" s="17" t="str">
        <x:v>FAILED: locked Carnix.exe; package and nullable warnings</x:v>
      </x:c>
      <x:c r="F5" s="17" t="str">
        <x:v>2026-09-13</x:v>
      </x:c>
    </x:row>
    <x:row r="6" ht="34" customHeight="1">
      <x:c r="A6" s="17" t="str">
        <x:v>E-005</x:v>
      </x:c>
      <x:c r="B6" s="17" t="str">
        <x:v>Dependency scan</x:v>
      </x:c>
      <x:c r="C6" s="17" t="str">
        <x:v>Carnix/*.csproj</x:v>
      </x:c>
      <x:c r="D6" s="17" t="str">
        <x:v>build restore warnings</x:v>
      </x:c>
      <x:c r="E6" s="17" t="str">
        <x:v>NU1904 critical، NU1903 high، NU1902 moderate، NU1701 compatibility</x:v>
      </x:c>
      <x:c r="F6" s="17" t="str">
        <x:v>2026-09-13</x:v>
      </x:c>
    </x:row>
    <x:row r="7" ht="34" customHeight="1">
      <x:c r="A7" s="17" t="str">
        <x:v>E-006</x:v>
      </x:c>
      <x:c r="B7" s="17" t="str">
        <x:v>Runtime desktop/mobile</x:v>
      </x:c>
      <x:c r="C7" s="17" t="str">
        <x:v>localhost:3000</x:v>
      </x:c>
      <x:c r="D7" s="17" t="str">
        <x:v>home, products, cart, mechanics/dashboard</x:v>
      </x:c>
      <x:c r="E7" s="17" t="str">
        <x:v>home/products rendered; cart hydration error; mechanics guest redirect</x:v>
      </x:c>
      <x:c r="F7" s="17" t="str">
        <x:v>2026-09-13</x:v>
      </x:c>
    </x:row>
    <x:row r="8" ht="34" customHeight="1">
      <x:c r="A8" s="17" t="str">
        <x:v>E-007</x:v>
      </x:c>
      <x:c r="B8" s="17" t="str">
        <x:v>Responsive DOM</x:v>
      </x:c>
      <x:c r="C8" s="17" t="str">
        <x:v>localhost:3000</x:v>
      </x:c>
      <x:c r="D8" s="17" t="str">
        <x:v>viewport 390x844; scrollWidth/clientWidth</x:v>
      </x:c>
      <x:c r="E8" s="17" t="str">
        <x:v>body overflow برابر viewport؛ چند carousel داخلی overflow دارد</x:v>
      </x:c>
      <x:c r="F8" s="17" t="str">
        <x:v>2026-09-13</x:v>
      </x:c>
    </x:row>
    <x:row r="9" ht="34" customHeight="1">
      <x:c r="A9" s="17" t="str">
        <x:v>E-008</x:v>
      </x:c>
      <x:c r="B9" s="17" t="str">
        <x:v>Source inventory</x:v>
      </x:c>
      <x:c r="C9" s="17" t="str">
        <x:v>ui/src + Carnix</x:v>
      </x:c>
      <x:c r="D9" s="17" t="str">
        <x:v>file/line scan</x:v>
      </x:c>
      <x:c r="E9" s="17" t="str">
        <x:v>399 UI source files؛ فایل‌های بزرگ و APIهای موازی ثبت شد</x:v>
      </x:c>
      <x:c r="F9" s="17" t="str">
        <x:v>2026-09-13</x:v>
      </x:c>
    </x:row>
  </x:sheetData>
  <x:pageMargins left="0.7" right="0.7" top="0.75" bottom="0.75" header="0.3" footer="0.3"/>
  <x:tableParts count="1">
    <x:tablePart xmlns:r="http://schemas.openxmlformats.org/officeDocument/2006/relationships" r:id="R649714130fe5492d"/>
  </x:tableParts>
</x:worksheet>
</file>